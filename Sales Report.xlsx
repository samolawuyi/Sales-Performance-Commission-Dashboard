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UNIZUA C JULIUS\Desktop\Samkay's data set\Analysed Data\"/>
    </mc:Choice>
  </mc:AlternateContent>
  <bookViews>
    <workbookView xWindow="0" yWindow="0" windowWidth="20490" windowHeight="7095" activeTab="1"/>
  </bookViews>
  <sheets>
    <sheet name="Sheet2" sheetId="2" r:id="rId1"/>
    <sheet name="Sheet1" sheetId="1" r:id="rId2"/>
  </sheets>
  <definedNames>
    <definedName name="_xlnm._FilterDatabase" localSheetId="1" hidden="1">Sheet1!$A$1:$O$400</definedName>
  </definedName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5" i="1" l="1"/>
  <c r="G404" i="1"/>
  <c r="G403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/>
  <c r="K88" i="1"/>
  <c r="L88" i="1"/>
  <c r="K89" i="1"/>
  <c r="L89" i="1"/>
  <c r="K90" i="1"/>
  <c r="L90" i="1" s="1"/>
  <c r="K91" i="1"/>
  <c r="L91" i="1"/>
  <c r="K92" i="1"/>
  <c r="L92" i="1"/>
  <c r="K93" i="1"/>
  <c r="L93" i="1"/>
  <c r="K94" i="1"/>
  <c r="L94" i="1" s="1"/>
  <c r="K95" i="1"/>
  <c r="L95" i="1"/>
  <c r="K96" i="1"/>
  <c r="L96" i="1"/>
  <c r="K97" i="1"/>
  <c r="L97" i="1" s="1"/>
  <c r="K98" i="1"/>
  <c r="L98" i="1" s="1"/>
  <c r="K99" i="1"/>
  <c r="L99" i="1" s="1"/>
  <c r="K100" i="1"/>
  <c r="L100" i="1"/>
  <c r="K101" i="1"/>
  <c r="L101" i="1"/>
  <c r="K102" i="1"/>
  <c r="L102" i="1"/>
  <c r="K103" i="1"/>
  <c r="L103" i="1" s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 s="1"/>
  <c r="K143" i="1"/>
  <c r="L143" i="1" s="1"/>
  <c r="K144" i="1"/>
  <c r="L144" i="1"/>
  <c r="K145" i="1"/>
  <c r="L145" i="1"/>
  <c r="K146" i="1"/>
  <c r="L146" i="1" s="1"/>
  <c r="K147" i="1"/>
  <c r="L147" i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 s="1"/>
  <c r="K243" i="1"/>
  <c r="L243" i="1"/>
  <c r="K244" i="1"/>
  <c r="L244" i="1"/>
  <c r="K245" i="1"/>
  <c r="L245" i="1"/>
  <c r="K246" i="1"/>
  <c r="L246" i="1"/>
  <c r="K247" i="1"/>
  <c r="L247" i="1" s="1"/>
  <c r="K248" i="1"/>
  <c r="L248" i="1"/>
  <c r="K249" i="1"/>
  <c r="L249" i="1"/>
  <c r="K250" i="1"/>
  <c r="L250" i="1" s="1"/>
  <c r="K251" i="1"/>
  <c r="L251" i="1" s="1"/>
  <c r="K252" i="1"/>
  <c r="L252" i="1" s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2" i="1"/>
  <c r="L2" i="1" s="1"/>
</calcChain>
</file>

<file path=xl/sharedStrings.xml><?xml version="1.0" encoding="utf-8"?>
<sst xmlns="http://schemas.openxmlformats.org/spreadsheetml/2006/main" count="3230" uniqueCount="81">
  <si>
    <t>Date</t>
  </si>
  <si>
    <t>Branch</t>
  </si>
  <si>
    <t>Customer type</t>
  </si>
  <si>
    <t>Gender</t>
  </si>
  <si>
    <t>Product line</t>
  </si>
  <si>
    <t>Unit price</t>
  </si>
  <si>
    <t>Quantity</t>
  </si>
  <si>
    <t>Payment</t>
  </si>
  <si>
    <t>Rating</t>
  </si>
  <si>
    <t>Profit</t>
  </si>
  <si>
    <t>Commission 10% for items less than $30, 20% for items more than $30</t>
  </si>
  <si>
    <t>Brooklyn</t>
  </si>
  <si>
    <t>Member</t>
  </si>
  <si>
    <t>Female</t>
  </si>
  <si>
    <t>Food &amp; Beverages</t>
  </si>
  <si>
    <t>Credit card</t>
  </si>
  <si>
    <t>Queens</t>
  </si>
  <si>
    <t>Normal</t>
  </si>
  <si>
    <t>Electronics</t>
  </si>
  <si>
    <t>Cash</t>
  </si>
  <si>
    <t>Sports &amp; Travel</t>
  </si>
  <si>
    <t>Manhattan</t>
  </si>
  <si>
    <t>Ewallet</t>
  </si>
  <si>
    <t>Fashion &amp; Accs</t>
  </si>
  <si>
    <t>Male</t>
  </si>
  <si>
    <t>Home &amp; Lifestyle</t>
  </si>
  <si>
    <t>Health &amp; Beauty</t>
  </si>
  <si>
    <t>Sale Location</t>
  </si>
  <si>
    <t>NM</t>
  </si>
  <si>
    <t>CA</t>
  </si>
  <si>
    <t>NZ</t>
  </si>
  <si>
    <t>AZ</t>
  </si>
  <si>
    <t>CO</t>
  </si>
  <si>
    <t>NY</t>
  </si>
  <si>
    <t>MN</t>
  </si>
  <si>
    <t>MA</t>
  </si>
  <si>
    <t>PA</t>
  </si>
  <si>
    <t>MI</t>
  </si>
  <si>
    <t>KY</t>
  </si>
  <si>
    <t>Ariwodo</t>
  </si>
  <si>
    <t>Wisdom</t>
  </si>
  <si>
    <t>Micheal</t>
  </si>
  <si>
    <t>Mike</t>
  </si>
  <si>
    <t>Olawuyi</t>
  </si>
  <si>
    <t>Young</t>
  </si>
  <si>
    <t>Arimoro</t>
  </si>
  <si>
    <t>Babs</t>
  </si>
  <si>
    <t>Zouma</t>
  </si>
  <si>
    <t>Segun</t>
  </si>
  <si>
    <t>Ayeni</t>
  </si>
  <si>
    <t>Femi</t>
  </si>
  <si>
    <t>Comfort</t>
  </si>
  <si>
    <t>Msurshima</t>
  </si>
  <si>
    <t>Joe</t>
  </si>
  <si>
    <t>Van</t>
  </si>
  <si>
    <t>Ope</t>
  </si>
  <si>
    <t>Ife</t>
  </si>
  <si>
    <t>Ohio</t>
  </si>
  <si>
    <t>Debbie</t>
  </si>
  <si>
    <t>Adeleke</t>
  </si>
  <si>
    <t>Kola</t>
  </si>
  <si>
    <t>Moses</t>
  </si>
  <si>
    <t>Omoloye</t>
  </si>
  <si>
    <t>Daniel</t>
  </si>
  <si>
    <t>Pearson</t>
  </si>
  <si>
    <t>Stuart</t>
  </si>
  <si>
    <t>Orenze</t>
  </si>
  <si>
    <t>Victoria</t>
  </si>
  <si>
    <t>Amodu</t>
  </si>
  <si>
    <t>Yemi</t>
  </si>
  <si>
    <t>Olunloyo</t>
  </si>
  <si>
    <t>First Name</t>
  </si>
  <si>
    <t>Last Name</t>
  </si>
  <si>
    <t>Sales Price</t>
  </si>
  <si>
    <t>Sum of all items</t>
  </si>
  <si>
    <t>Sum of items valued at more than $30</t>
  </si>
  <si>
    <t>Sum of items valued at $30 or less</t>
  </si>
  <si>
    <t>Sum of Sales Price</t>
  </si>
  <si>
    <t>Row Labels</t>
  </si>
  <si>
    <t>Grand Total</t>
  </si>
  <si>
    <t>Mr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</si>
</sst>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 applyAlignment="1">
      <alignment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textRotation="90"/>
    </xf>
  </cellXfs>
  <cellStyles count="2">
    <cellStyle name="Currency" xfId="1" builtinId="4"/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8C-494C-9C0C-7A32EFFB64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8C-494C-9C0C-7A32EFFB64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8C-494C-9C0C-7A32EFFB64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8C-494C-9C0C-7A32EFFB64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8C-494C-9C0C-7A32EFFB64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98C-494C-9C0C-7A32EFFB64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98C-494C-9C0C-7A32EFFB64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98C-494C-9C0C-7A32EFFB64A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98C-494C-9C0C-7A32EFFB64A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98C-494C-9C0C-7A32EFFB64A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98C-494C-9C0C-7A32EFFB64A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98C-494C-9C0C-7A32EFFB64A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98C-494C-9C0C-7A32EFFB64A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98C-494C-9C0C-7A32EFFB64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98C-494C-9C0C-7A32EFFB64A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98C-494C-9C0C-7A32EFFB64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Sheet2!$A$4:$A$20</c:f>
              <c:strCache>
                <c:ptCount val="16"/>
                <c:pt idx="0">
                  <c:v>Babs</c:v>
                </c:pt>
                <c:pt idx="1">
                  <c:v>Daniel</c:v>
                </c:pt>
                <c:pt idx="2">
                  <c:v>Debbie</c:v>
                </c:pt>
                <c:pt idx="3">
                  <c:v>Femi</c:v>
                </c:pt>
                <c:pt idx="4">
                  <c:v>Ife</c:v>
                </c:pt>
                <c:pt idx="5">
                  <c:v>Kola</c:v>
                </c:pt>
                <c:pt idx="6">
                  <c:v>Mike</c:v>
                </c:pt>
                <c:pt idx="7">
                  <c:v>Moses</c:v>
                </c:pt>
                <c:pt idx="8">
                  <c:v>Msurshima</c:v>
                </c:pt>
                <c:pt idx="9">
                  <c:v>Segun</c:v>
                </c:pt>
                <c:pt idx="10">
                  <c:v>Stuart</c:v>
                </c:pt>
                <c:pt idx="11">
                  <c:v>Van</c:v>
                </c:pt>
                <c:pt idx="12">
                  <c:v>Victoria</c:v>
                </c:pt>
                <c:pt idx="13">
                  <c:v>Wisdom</c:v>
                </c:pt>
                <c:pt idx="14">
                  <c:v>Yemi</c:v>
                </c:pt>
                <c:pt idx="15">
                  <c:v>Young</c:v>
                </c:pt>
              </c:strCache>
            </c:strRef>
          </c:cat>
          <c:val>
            <c:numRef>
              <c:f>Sheet2!$B$4:$B$20</c:f>
              <c:numCache>
                <c:formatCode>_("$"* #,##0.00_);_("$"* \(#,##0.00\);_("$"* "-"??_);_(@_)</c:formatCode>
                <c:ptCount val="16"/>
                <c:pt idx="0">
                  <c:v>2880</c:v>
                </c:pt>
                <c:pt idx="1">
                  <c:v>2760</c:v>
                </c:pt>
                <c:pt idx="2">
                  <c:v>2760</c:v>
                </c:pt>
                <c:pt idx="3">
                  <c:v>2880</c:v>
                </c:pt>
                <c:pt idx="4">
                  <c:v>2760</c:v>
                </c:pt>
                <c:pt idx="5">
                  <c:v>2760</c:v>
                </c:pt>
                <c:pt idx="6">
                  <c:v>2880</c:v>
                </c:pt>
                <c:pt idx="7">
                  <c:v>2760</c:v>
                </c:pt>
                <c:pt idx="8">
                  <c:v>2880</c:v>
                </c:pt>
                <c:pt idx="9">
                  <c:v>2880</c:v>
                </c:pt>
                <c:pt idx="10">
                  <c:v>2760</c:v>
                </c:pt>
                <c:pt idx="11">
                  <c:v>2880</c:v>
                </c:pt>
                <c:pt idx="12">
                  <c:v>5520</c:v>
                </c:pt>
                <c:pt idx="13">
                  <c:v>2880</c:v>
                </c:pt>
                <c:pt idx="14">
                  <c:v>2760</c:v>
                </c:pt>
                <c:pt idx="15">
                  <c:v>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3-4E65-8C0E-340D9B39B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129267</xdr:colOff>
      <xdr:row>3</xdr:row>
      <xdr:rowOff>9525</xdr:rowOff>
    </xdr:from>
    <xdr:to>
      <xdr:col>9</xdr:col>
      <xdr:colOff>415017</xdr:colOff>
      <xdr:row>17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67.955289699072" createdVersion="6" refreshedVersion="6" minRefreshableVersion="3" recordCount="399">
  <cacheSource type="worksheet">
    <worksheetSource ref="A1:O400" sheet="Sheet1"/>
  </cacheSource>
  <cacheFields count="15">
    <cacheField name="Date" numFmtId="14">
      <sharedItems containsSemiMixedTypes="0" containsNonDate="0" containsDate="1" containsString="0" minDate="2024-01-01T00:00:00" maxDate="2024-02-06T00:00:00"/>
    </cacheField>
    <cacheField name="Branch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44">
      <sharedItems containsSemiMixedTypes="0" containsString="0" containsNumber="1" minValue="10.53" maxValue="99.96"/>
    </cacheField>
    <cacheField name="Sales Price" numFmtId="44">
      <sharedItems containsSemiMixedTypes="0" containsString="0" containsNumber="1" containsInteger="1" minValue="120" maxValue="120"/>
    </cacheField>
    <cacheField name="Quantity" numFmtId="0">
      <sharedItems containsSemiMixedTypes="0" containsString="0" containsNumber="1" containsInteger="1" minValue="1" maxValue="10"/>
    </cacheField>
    <cacheField name="Payment" numFmtId="0">
      <sharedItems/>
    </cacheField>
    <cacheField name="Rating" numFmtId="0">
      <sharedItems containsSemiMixedTypes="0" containsString="0" containsNumber="1" minValue="4" maxValue="10"/>
    </cacheField>
    <cacheField name="Profit" numFmtId="44">
      <sharedItems containsSemiMixedTypes="0" containsString="0" containsNumber="1" minValue="20.040000000000006" maxValue="109.47"/>
    </cacheField>
    <cacheField name="Commission 10% for items less than $30, 20% for items more than $30" numFmtId="44">
      <sharedItems containsSemiMixedTypes="0" containsString="0" containsNumber="1" minValue="4.0080000000000018" maxValue="21.894000000000002"/>
    </cacheField>
    <cacheField name="First Name" numFmtId="0">
      <sharedItems/>
    </cacheField>
    <cacheField name="Last Name" numFmtId="0">
      <sharedItems count="16">
        <s v="Wisdom"/>
        <s v="Mike"/>
        <s v="Young"/>
        <s v="Babs"/>
        <s v="Segun"/>
        <s v="Femi"/>
        <s v="Msurshima"/>
        <s v="Van"/>
        <s v="Ife"/>
        <s v="Debbie"/>
        <s v="Kola"/>
        <s v="Moses"/>
        <s v="Daniel"/>
        <s v="Stuart"/>
        <s v="Victoria"/>
        <s v="Yemi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">
  <r>
    <d v="2024-01-01T00:00:00"/>
    <s v="Brooklyn"/>
    <s v="Member"/>
    <s v="Female"/>
    <s v="Food &amp; Beverages"/>
    <n v="84.63"/>
    <n v="120"/>
    <n v="10"/>
    <s v="Credit card"/>
    <n v="9"/>
    <n v="35.370000000000005"/>
    <n v="7.0740000000000016"/>
    <s v="Ariwodo"/>
    <x v="0"/>
    <s v="NM"/>
  </r>
  <r>
    <d v="2024-01-01T00:00:00"/>
    <s v="Queens"/>
    <s v="Normal"/>
    <s v="Female"/>
    <s v="Electronics"/>
    <n v="63.22"/>
    <n v="120"/>
    <n v="2"/>
    <s v="Cash"/>
    <n v="8.5"/>
    <n v="56.78"/>
    <n v="11.356000000000002"/>
    <s v="Micheal"/>
    <x v="1"/>
    <s v="CA"/>
  </r>
  <r>
    <d v="2024-01-01T00:00:00"/>
    <s v="Brooklyn"/>
    <s v="Normal"/>
    <s v="Female"/>
    <s v="Electronics"/>
    <n v="74.709999999999994"/>
    <n v="120"/>
    <n v="6"/>
    <s v="Cash"/>
    <n v="6.7"/>
    <n v="45.290000000000006"/>
    <n v="9.0580000000000016"/>
    <s v="Olawuyi"/>
    <x v="2"/>
    <s v="NZ"/>
  </r>
  <r>
    <d v="2024-01-01T00:00:00"/>
    <s v="Queens"/>
    <s v="Member"/>
    <s v="Female"/>
    <s v="Sports &amp; Travel"/>
    <n v="36.979999999999997"/>
    <n v="120"/>
    <n v="10"/>
    <s v="Credit card"/>
    <n v="7"/>
    <n v="83.02000000000001"/>
    <n v="16.604000000000003"/>
    <s v="Arimoro"/>
    <x v="3"/>
    <s v="AZ"/>
  </r>
  <r>
    <d v="2024-01-01T00:00:00"/>
    <s v="Manhattan"/>
    <s v="Member"/>
    <s v="Female"/>
    <s v="Sports &amp; Travel"/>
    <n v="27.04"/>
    <n v="120"/>
    <n v="4"/>
    <s v="Ewallet"/>
    <n v="6.9"/>
    <n v="92.960000000000008"/>
    <n v="18.592000000000002"/>
    <s v="Zouma"/>
    <x v="4"/>
    <s v="AZ"/>
  </r>
  <r>
    <d v="2024-01-01T00:00:00"/>
    <s v="Manhattan"/>
    <s v="Normal"/>
    <s v="Female"/>
    <s v="Fashion &amp; Accs"/>
    <n v="65.739999999999995"/>
    <n v="120"/>
    <n v="9"/>
    <s v="Cash"/>
    <n v="7.7"/>
    <n v="54.260000000000005"/>
    <n v="10.852000000000002"/>
    <s v="Ayeni"/>
    <x v="5"/>
    <s v="AZ"/>
  </r>
  <r>
    <d v="2024-01-01T00:00:00"/>
    <s v="Manhattan"/>
    <s v="Member"/>
    <s v="Male"/>
    <s v="Home &amp; Lifestyle"/>
    <n v="47.59"/>
    <n v="120"/>
    <n v="8"/>
    <s v="Cash"/>
    <n v="5.7"/>
    <n v="72.41"/>
    <n v="14.481999999999999"/>
    <s v="Comfort"/>
    <x v="6"/>
    <s v="NM"/>
  </r>
  <r>
    <d v="2024-01-01T00:00:00"/>
    <s v="Manhattan"/>
    <s v="Normal"/>
    <s v="Male"/>
    <s v="Sports &amp; Travel"/>
    <n v="72.61"/>
    <n v="120"/>
    <n v="6"/>
    <s v="Credit card"/>
    <n v="6.9"/>
    <n v="47.39"/>
    <n v="9.4779999999999998"/>
    <s v="Joe"/>
    <x v="7"/>
    <s v="NM"/>
  </r>
  <r>
    <d v="2024-01-01T00:00:00"/>
    <s v="Queens"/>
    <s v="Normal"/>
    <s v="Male"/>
    <s v="Health &amp; Beauty"/>
    <n v="62.87"/>
    <n v="120"/>
    <n v="2"/>
    <s v="Cash"/>
    <n v="5"/>
    <n v="57.13"/>
    <n v="11.426000000000002"/>
    <s v="Ope"/>
    <x v="8"/>
    <s v="AZ"/>
  </r>
  <r>
    <d v="2024-01-01T00:00:00"/>
    <s v="Brooklyn"/>
    <s v="Normal"/>
    <s v="Male"/>
    <s v="Food &amp; Beverages"/>
    <n v="21.12"/>
    <n v="120"/>
    <n v="8"/>
    <s v="Cash"/>
    <n v="6.3"/>
    <n v="98.88"/>
    <n v="19.776"/>
    <s v="Ohio"/>
    <x v="9"/>
    <s v="CA"/>
  </r>
  <r>
    <d v="2024-01-01T00:00:00"/>
    <s v="Queens"/>
    <s v="Member"/>
    <s v="Female"/>
    <s v="Sports &amp; Travel"/>
    <n v="29.22"/>
    <n v="120"/>
    <n v="6"/>
    <s v="Ewallet"/>
    <n v="5"/>
    <n v="90.78"/>
    <n v="18.156000000000002"/>
    <s v="Adeleke"/>
    <x v="10"/>
    <s v="CO"/>
  </r>
  <r>
    <d v="2024-01-01T00:00:00"/>
    <s v="Manhattan"/>
    <s v="Member"/>
    <s v="Female"/>
    <s v="Electronics"/>
    <n v="74.22"/>
    <n v="120"/>
    <n v="10"/>
    <s v="Credit card"/>
    <n v="4.3"/>
    <n v="45.78"/>
    <n v="9.1560000000000006"/>
    <s v="Adeleke"/>
    <x v="11"/>
    <s v="AZ"/>
  </r>
  <r>
    <d v="2024-01-02T00:00:00"/>
    <s v="Manhattan"/>
    <s v="Normal"/>
    <s v="Male"/>
    <s v="Sports &amp; Travel"/>
    <n v="42.47"/>
    <n v="120"/>
    <n v="1"/>
    <s v="Cash"/>
    <n v="5.7"/>
    <n v="77.53"/>
    <n v="15.506"/>
    <s v="Omoloye"/>
    <x v="12"/>
    <s v="CO"/>
  </r>
  <r>
    <d v="2024-01-02T00:00:00"/>
    <s v="Brooklyn"/>
    <s v="Member"/>
    <s v="Male"/>
    <s v="Fashion &amp; Accs"/>
    <n v="40.61"/>
    <n v="120"/>
    <n v="9"/>
    <s v="Cash"/>
    <n v="7"/>
    <n v="79.39"/>
    <n v="15.878"/>
    <s v="Pearson"/>
    <x v="13"/>
    <s v="NY"/>
  </r>
  <r>
    <d v="2024-01-02T00:00:00"/>
    <s v="Brooklyn"/>
    <s v="Normal"/>
    <s v="Male"/>
    <s v="Sports &amp; Travel"/>
    <n v="44.63"/>
    <n v="120"/>
    <n v="6"/>
    <s v="Credit card"/>
    <n v="5.0999999999999996"/>
    <n v="75.37"/>
    <n v="15.074000000000002"/>
    <s v="Orenze"/>
    <x v="14"/>
    <s v="MN"/>
  </r>
  <r>
    <d v="2024-01-02T00:00:00"/>
    <s v="Manhattan"/>
    <s v="Member"/>
    <s v="Male"/>
    <s v="Food &amp; Beverages"/>
    <n v="41.66"/>
    <n v="120"/>
    <n v="6"/>
    <s v="Ewallet"/>
    <n v="5.6"/>
    <n v="78.34"/>
    <n v="15.668000000000001"/>
    <s v="Amodu"/>
    <x v="15"/>
    <s v="MA"/>
  </r>
  <r>
    <d v="2024-01-02T00:00:00"/>
    <s v="Queens"/>
    <s v="Member"/>
    <s v="Female"/>
    <s v="Sports &amp; Travel"/>
    <n v="31.67"/>
    <n v="120"/>
    <n v="8"/>
    <s v="Credit card"/>
    <n v="5.6"/>
    <n v="88.33"/>
    <n v="17.666"/>
    <s v="Olunloyo"/>
    <x v="14"/>
    <s v="PA"/>
  </r>
  <r>
    <d v="2024-01-02T00:00:00"/>
    <s v="Brooklyn"/>
    <s v="Normal"/>
    <s v="Female"/>
    <s v="Health &amp; Beauty"/>
    <n v="34.21"/>
    <n v="120"/>
    <n v="10"/>
    <s v="Cash"/>
    <n v="5.0999999999999996"/>
    <n v="85.789999999999992"/>
    <n v="17.157999999999998"/>
    <s v="Ariwodo"/>
    <x v="0"/>
    <s v="MI"/>
  </r>
  <r>
    <d v="2024-01-02T00:00:00"/>
    <s v="Brooklyn"/>
    <s v="Normal"/>
    <s v="Male"/>
    <s v="Electronics"/>
    <n v="22.01"/>
    <n v="120"/>
    <n v="6"/>
    <s v="Cash"/>
    <n v="7.6"/>
    <n v="97.99"/>
    <n v="19.597999999999999"/>
    <s v="Micheal"/>
    <x v="1"/>
    <s v="KY"/>
  </r>
  <r>
    <d v="2024-01-02T00:00:00"/>
    <s v="Queens"/>
    <s v="Normal"/>
    <s v="Male"/>
    <s v="Fashion &amp; Accs"/>
    <n v="99.82"/>
    <n v="120"/>
    <n v="2"/>
    <s v="Credit card"/>
    <n v="6.7"/>
    <n v="20.180000000000007"/>
    <n v="4.0360000000000014"/>
    <s v="Olawuyi"/>
    <x v="2"/>
    <s v="NM"/>
  </r>
  <r>
    <d v="2024-01-03T00:00:00"/>
    <s v="Brooklyn"/>
    <s v="Normal"/>
    <s v="Female"/>
    <s v="Home &amp; Lifestyle"/>
    <n v="63.15"/>
    <n v="120"/>
    <n v="6"/>
    <s v="Ewallet"/>
    <n v="9.8000000000000007"/>
    <n v="56.85"/>
    <n v="11.370000000000001"/>
    <s v="Arimoro"/>
    <x v="3"/>
    <s v="CA"/>
  </r>
  <r>
    <d v="2024-01-03T00:00:00"/>
    <s v="Queens"/>
    <s v="Member"/>
    <s v="Male"/>
    <s v="Health &amp; Beauty"/>
    <n v="75.88"/>
    <n v="120"/>
    <n v="1"/>
    <s v="Credit card"/>
    <n v="7.1"/>
    <n v="44.120000000000005"/>
    <n v="8.8240000000000016"/>
    <s v="Zouma"/>
    <x v="4"/>
    <s v="NZ"/>
  </r>
  <r>
    <d v="2024-01-03T00:00:00"/>
    <s v="Brooklyn"/>
    <s v="Normal"/>
    <s v="Male"/>
    <s v="Sports &amp; Travel"/>
    <n v="93.38"/>
    <n v="120"/>
    <n v="1"/>
    <s v="Cash"/>
    <n v="9.6"/>
    <n v="26.620000000000005"/>
    <n v="5.3240000000000016"/>
    <s v="Ayeni"/>
    <x v="5"/>
    <s v="AZ"/>
  </r>
  <r>
    <d v="2024-01-03T00:00:00"/>
    <s v="Manhattan"/>
    <s v="Normal"/>
    <s v="Male"/>
    <s v="Health &amp; Beauty"/>
    <n v="70.010000000000005"/>
    <n v="120"/>
    <n v="5"/>
    <s v="Ewallet"/>
    <n v="5.5"/>
    <n v="49.989999999999995"/>
    <n v="9.9979999999999993"/>
    <s v="Comfort"/>
    <x v="6"/>
    <s v="AZ"/>
  </r>
  <r>
    <d v="2024-01-03T00:00:00"/>
    <s v="Manhattan"/>
    <s v="Normal"/>
    <s v="Female"/>
    <s v="Health &amp; Beauty"/>
    <n v="23.03"/>
    <n v="120"/>
    <n v="9"/>
    <s v="Ewallet"/>
    <n v="7.9"/>
    <n v="96.97"/>
    <n v="19.394000000000002"/>
    <s v="Joe"/>
    <x v="7"/>
    <s v="AZ"/>
  </r>
  <r>
    <d v="2024-01-03T00:00:00"/>
    <s v="Queens"/>
    <s v="Member"/>
    <s v="Female"/>
    <s v="Health &amp; Beauty"/>
    <n v="21.12"/>
    <n v="120"/>
    <n v="2"/>
    <s v="Cash"/>
    <n v="9.6999999999999993"/>
    <n v="98.88"/>
    <n v="19.776"/>
    <s v="Ope"/>
    <x v="8"/>
    <s v="NM"/>
  </r>
  <r>
    <d v="2024-01-03T00:00:00"/>
    <s v="Manhattan"/>
    <s v="Normal"/>
    <s v="Female"/>
    <s v="Home &amp; Lifestyle"/>
    <n v="67.09"/>
    <n v="120"/>
    <n v="5"/>
    <s v="Credit card"/>
    <n v="9.1"/>
    <n v="52.91"/>
    <n v="10.582000000000001"/>
    <s v="Ohio"/>
    <x v="9"/>
    <s v="NM"/>
  </r>
  <r>
    <d v="2024-01-03T00:00:00"/>
    <s v="Brooklyn"/>
    <s v="Member"/>
    <s v="Male"/>
    <s v="Health &amp; Beauty"/>
    <n v="62"/>
    <n v="120"/>
    <n v="8"/>
    <s v="Credit card"/>
    <n v="6.2"/>
    <n v="58"/>
    <n v="11.600000000000001"/>
    <s v="Adeleke"/>
    <x v="10"/>
    <s v="AZ"/>
  </r>
  <r>
    <d v="2024-01-04T00:00:00"/>
    <s v="Brooklyn"/>
    <s v="Normal"/>
    <s v="Male"/>
    <s v="Sports &amp; Travel"/>
    <n v="46.42"/>
    <n v="120"/>
    <n v="3"/>
    <s v="Credit card"/>
    <n v="4.4000000000000004"/>
    <n v="73.58"/>
    <n v="14.716000000000001"/>
    <s v="Adeleke"/>
    <x v="11"/>
    <s v="CA"/>
  </r>
  <r>
    <d v="2024-01-04T00:00:00"/>
    <s v="Manhattan"/>
    <s v="Member"/>
    <s v="Male"/>
    <s v="Health &amp; Beauty"/>
    <n v="20.97"/>
    <n v="120"/>
    <n v="5"/>
    <s v="Cash"/>
    <n v="7.8"/>
    <n v="99.03"/>
    <n v="19.806000000000001"/>
    <s v="Omoloye"/>
    <x v="12"/>
    <s v="CO"/>
  </r>
  <r>
    <d v="2024-01-04T00:00:00"/>
    <s v="Queens"/>
    <s v="Member"/>
    <s v="Female"/>
    <s v="Electronics"/>
    <n v="66.650000000000006"/>
    <n v="120"/>
    <n v="9"/>
    <s v="Credit card"/>
    <n v="9.6999999999999993"/>
    <n v="53.349999999999994"/>
    <n v="10.67"/>
    <s v="Pearson"/>
    <x v="13"/>
    <s v="AZ"/>
  </r>
  <r>
    <d v="2024-01-04T00:00:00"/>
    <s v="Manhattan"/>
    <s v="Member"/>
    <s v="Female"/>
    <s v="Home &amp; Lifestyle"/>
    <n v="35.54"/>
    <n v="120"/>
    <n v="10"/>
    <s v="Ewallet"/>
    <n v="7"/>
    <n v="84.460000000000008"/>
    <n v="16.892000000000003"/>
    <s v="Orenze"/>
    <x v="14"/>
    <s v="CO"/>
  </r>
  <r>
    <d v="2024-01-04T00:00:00"/>
    <s v="Brooklyn"/>
    <s v="Member"/>
    <s v="Female"/>
    <s v="Fashion &amp; Accs"/>
    <n v="68.709999999999994"/>
    <n v="120"/>
    <n v="4"/>
    <s v="Cash"/>
    <n v="4.0999999999999996"/>
    <n v="51.290000000000006"/>
    <n v="10.258000000000003"/>
    <s v="Amodu"/>
    <x v="15"/>
    <s v="NY"/>
  </r>
  <r>
    <d v="2024-01-04T00:00:00"/>
    <s v="Brooklyn"/>
    <s v="Member"/>
    <s v="Male"/>
    <s v="Electronics"/>
    <n v="72.17"/>
    <n v="120"/>
    <n v="1"/>
    <s v="Cash"/>
    <n v="6.1"/>
    <n v="47.83"/>
    <n v="9.5660000000000007"/>
    <s v="Olunloyo"/>
    <x v="14"/>
    <s v="MN"/>
  </r>
  <r>
    <d v="2024-01-05T00:00:00"/>
    <s v="Queens"/>
    <s v="Member"/>
    <s v="Female"/>
    <s v="Fashion &amp; Accs"/>
    <n v="31.9"/>
    <n v="120"/>
    <n v="1"/>
    <s v="Ewallet"/>
    <n v="9.1"/>
    <n v="88.1"/>
    <n v="17.62"/>
    <s v="Ariwodo"/>
    <x v="0"/>
    <s v="MA"/>
  </r>
  <r>
    <d v="2024-01-05T00:00:00"/>
    <s v="Queens"/>
    <s v="Normal"/>
    <s v="Male"/>
    <s v="Fashion &amp; Accs"/>
    <n v="27.38"/>
    <n v="120"/>
    <n v="6"/>
    <s v="Credit card"/>
    <n v="7.9"/>
    <n v="92.62"/>
    <n v="18.524000000000001"/>
    <s v="Micheal"/>
    <x v="1"/>
    <s v="PA"/>
  </r>
  <r>
    <d v="2024-01-05T00:00:00"/>
    <s v="Brooklyn"/>
    <s v="Member"/>
    <s v="Female"/>
    <s v="Home &amp; Lifestyle"/>
    <n v="35.380000000000003"/>
    <n v="120"/>
    <n v="9"/>
    <s v="Credit card"/>
    <n v="9.6"/>
    <n v="84.62"/>
    <n v="16.924000000000003"/>
    <s v="Olawuyi"/>
    <x v="2"/>
    <s v="MI"/>
  </r>
  <r>
    <d v="2024-01-05T00:00:00"/>
    <s v="Queens"/>
    <s v="Normal"/>
    <s v="Female"/>
    <s v="Fashion &amp; Accs"/>
    <n v="76.06"/>
    <n v="120"/>
    <n v="3"/>
    <s v="Credit card"/>
    <n v="9.8000000000000007"/>
    <n v="43.94"/>
    <n v="8.7880000000000003"/>
    <s v="Arimoro"/>
    <x v="3"/>
    <s v="KY"/>
  </r>
  <r>
    <d v="2024-01-05T00:00:00"/>
    <s v="Manhattan"/>
    <s v="Member"/>
    <s v="Female"/>
    <s v="Health &amp; Beauty"/>
    <n v="74.69"/>
    <n v="120"/>
    <n v="7"/>
    <s v="Ewallet"/>
    <n v="9.1"/>
    <n v="45.31"/>
    <n v="9.0620000000000012"/>
    <s v="Zouma"/>
    <x v="4"/>
    <s v="NM"/>
  </r>
  <r>
    <d v="2024-01-05T00:00:00"/>
    <s v="Brooklyn"/>
    <s v="Normal"/>
    <s v="Female"/>
    <s v="Food &amp; Beverages"/>
    <n v="71.2"/>
    <n v="120"/>
    <n v="1"/>
    <s v="Credit card"/>
    <n v="9.1999999999999993"/>
    <n v="48.8"/>
    <n v="9.76"/>
    <s v="Ayeni"/>
    <x v="5"/>
    <s v="CA"/>
  </r>
  <r>
    <d v="2024-01-05T00:00:00"/>
    <s v="Manhattan"/>
    <s v="Member"/>
    <s v="Male"/>
    <s v="Home &amp; Lifestyle"/>
    <n v="70.739999999999995"/>
    <n v="120"/>
    <n v="4"/>
    <s v="Credit card"/>
    <n v="4.4000000000000004"/>
    <n v="49.260000000000005"/>
    <n v="9.8520000000000021"/>
    <s v="Comfort"/>
    <x v="6"/>
    <s v="NZ"/>
  </r>
  <r>
    <d v="2024-01-05T00:00:00"/>
    <s v="Manhattan"/>
    <s v="Normal"/>
    <s v="Female"/>
    <s v="Electronics"/>
    <n v="93.88"/>
    <n v="120"/>
    <n v="7"/>
    <s v="Credit card"/>
    <n v="7.3"/>
    <n v="26.120000000000005"/>
    <n v="5.2240000000000011"/>
    <s v="Joe"/>
    <x v="7"/>
    <s v="AZ"/>
  </r>
  <r>
    <d v="2024-01-05T00:00:00"/>
    <s v="Queens"/>
    <s v="Normal"/>
    <s v="Female"/>
    <s v="Health &amp; Beauty"/>
    <n v="78.89"/>
    <n v="120"/>
    <n v="7"/>
    <s v="Ewallet"/>
    <n v="7.5"/>
    <n v="41.11"/>
    <n v="8.2219999999999995"/>
    <s v="Ope"/>
    <x v="8"/>
    <s v="AZ"/>
  </r>
  <r>
    <d v="2024-01-05T00:00:00"/>
    <s v="Brooklyn"/>
    <s v="Member"/>
    <s v="Female"/>
    <s v="Fashion &amp; Accs"/>
    <n v="73.959999999999994"/>
    <n v="120"/>
    <n v="1"/>
    <s v="Credit card"/>
    <n v="5"/>
    <n v="46.040000000000006"/>
    <n v="9.208000000000002"/>
    <s v="Ohio"/>
    <x v="9"/>
    <s v="AZ"/>
  </r>
  <r>
    <d v="2024-01-05T00:00:00"/>
    <s v="Manhattan"/>
    <s v="Member"/>
    <s v="Male"/>
    <s v="Home &amp; Lifestyle"/>
    <n v="62.65"/>
    <n v="120"/>
    <n v="4"/>
    <s v="Cash"/>
    <n v="4.2"/>
    <n v="57.35"/>
    <n v="11.47"/>
    <s v="Adeleke"/>
    <x v="10"/>
    <s v="NM"/>
  </r>
  <r>
    <d v="2024-01-05T00:00:00"/>
    <s v="Manhattan"/>
    <s v="Normal"/>
    <s v="Female"/>
    <s v="Home &amp; Lifestyle"/>
    <n v="42.91"/>
    <n v="120"/>
    <n v="5"/>
    <s v="Ewallet"/>
    <n v="6.1"/>
    <n v="77.09"/>
    <n v="15.418000000000001"/>
    <s v="Adeleke"/>
    <x v="11"/>
    <s v="NM"/>
  </r>
  <r>
    <d v="2024-01-06T00:00:00"/>
    <s v="Brooklyn"/>
    <s v="Normal"/>
    <s v="Male"/>
    <s v="Home &amp; Lifestyle"/>
    <n v="62.19"/>
    <n v="120"/>
    <n v="4"/>
    <s v="Ewallet"/>
    <n v="4.3"/>
    <n v="57.81"/>
    <n v="11.562000000000001"/>
    <s v="Omoloye"/>
    <x v="12"/>
    <s v="AZ"/>
  </r>
  <r>
    <d v="2024-01-06T00:00:00"/>
    <s v="Queens"/>
    <s v="Normal"/>
    <s v="Male"/>
    <s v="Food &amp; Beverages"/>
    <n v="89.48"/>
    <n v="120"/>
    <n v="10"/>
    <s v="Credit card"/>
    <n v="9.6"/>
    <n v="30.519999999999996"/>
    <n v="6.1039999999999992"/>
    <s v="Pearson"/>
    <x v="13"/>
    <s v="CA"/>
  </r>
  <r>
    <d v="2024-01-06T00:00:00"/>
    <s v="Manhattan"/>
    <s v="Normal"/>
    <s v="Female"/>
    <s v="Sports &amp; Travel"/>
    <n v="15.34"/>
    <n v="120"/>
    <n v="1"/>
    <s v="Cash"/>
    <n v="6.5"/>
    <n v="104.66"/>
    <n v="20.932000000000002"/>
    <s v="Orenze"/>
    <x v="14"/>
    <s v="CO"/>
  </r>
  <r>
    <d v="2024-01-06T00:00:00"/>
    <s v="Brooklyn"/>
    <s v="Member"/>
    <s v="Male"/>
    <s v="Health &amp; Beauty"/>
    <n v="80.47"/>
    <n v="120"/>
    <n v="9"/>
    <s v="Cash"/>
    <n v="9.1999999999999993"/>
    <n v="39.53"/>
    <n v="7.9060000000000006"/>
    <s v="Amodu"/>
    <x v="15"/>
    <s v="AZ"/>
  </r>
  <r>
    <d v="2024-01-06T00:00:00"/>
    <s v="Manhattan"/>
    <s v="Member"/>
    <s v="Male"/>
    <s v="Home &amp; Lifestyle"/>
    <n v="58.9"/>
    <n v="120"/>
    <n v="8"/>
    <s v="Cash"/>
    <n v="8.9"/>
    <n v="61.1"/>
    <n v="12.22"/>
    <s v="Olunloyo"/>
    <x v="14"/>
    <s v="CO"/>
  </r>
  <r>
    <d v="2024-01-06T00:00:00"/>
    <s v="Queens"/>
    <s v="Normal"/>
    <s v="Female"/>
    <s v="Fashion &amp; Accs"/>
    <n v="81.680000000000007"/>
    <n v="120"/>
    <n v="4"/>
    <s v="Cash"/>
    <n v="9.1"/>
    <n v="38.319999999999993"/>
    <n v="7.6639999999999988"/>
    <s v="Ariwodo"/>
    <x v="0"/>
    <s v="NY"/>
  </r>
  <r>
    <d v="2024-01-06T00:00:00"/>
    <s v="Manhattan"/>
    <s v="Normal"/>
    <s v="Female"/>
    <s v="Food &amp; Beverages"/>
    <n v="40.94"/>
    <n v="120"/>
    <n v="5"/>
    <s v="Ewallet"/>
    <n v="9.9"/>
    <n v="79.06"/>
    <n v="15.812000000000001"/>
    <s v="Micheal"/>
    <x v="1"/>
    <s v="MN"/>
  </r>
  <r>
    <d v="2024-01-06T00:00:00"/>
    <s v="Manhattan"/>
    <s v="Normal"/>
    <s v="Male"/>
    <s v="Sports &amp; Travel"/>
    <n v="64.59"/>
    <n v="120"/>
    <n v="4"/>
    <s v="Ewallet"/>
    <n v="9.3000000000000007"/>
    <n v="55.41"/>
    <n v="11.082000000000001"/>
    <s v="Olawuyi"/>
    <x v="2"/>
    <s v="MA"/>
  </r>
  <r>
    <d v="2024-01-06T00:00:00"/>
    <s v="Manhattan"/>
    <s v="Normal"/>
    <s v="Female"/>
    <s v="Fashion &amp; Accs"/>
    <n v="42.57"/>
    <n v="120"/>
    <n v="7"/>
    <s v="Cash"/>
    <n v="6.8"/>
    <n v="77.430000000000007"/>
    <n v="15.486000000000002"/>
    <s v="Arimoro"/>
    <x v="3"/>
    <s v="PA"/>
  </r>
  <r>
    <d v="2024-01-07T00:00:00"/>
    <s v="Brooklyn"/>
    <s v="Normal"/>
    <s v="Male"/>
    <s v="Fashion &amp; Accs"/>
    <n v="47.97"/>
    <n v="120"/>
    <n v="7"/>
    <s v="Cash"/>
    <n v="6.2"/>
    <n v="72.03"/>
    <n v="14.406000000000001"/>
    <s v="Zouma"/>
    <x v="4"/>
    <s v="MI"/>
  </r>
  <r>
    <d v="2024-01-07T00:00:00"/>
    <s v="Queens"/>
    <s v="Member"/>
    <s v="Female"/>
    <s v="Home &amp; Lifestyle"/>
    <n v="21.82"/>
    <n v="120"/>
    <n v="10"/>
    <s v="Cash"/>
    <n v="7.1"/>
    <n v="98.18"/>
    <n v="19.636000000000003"/>
    <s v="Ayeni"/>
    <x v="5"/>
    <s v="KY"/>
  </r>
  <r>
    <d v="2024-01-07T00:00:00"/>
    <s v="Queens"/>
    <s v="Normal"/>
    <s v="Male"/>
    <s v="Food &amp; Beverages"/>
    <n v="27.22"/>
    <n v="120"/>
    <n v="3"/>
    <s v="Cash"/>
    <n v="7.3"/>
    <n v="92.78"/>
    <n v="18.556000000000001"/>
    <s v="Comfort"/>
    <x v="6"/>
    <s v="NM"/>
  </r>
  <r>
    <d v="2024-01-07T00:00:00"/>
    <s v="Queens"/>
    <s v="Member"/>
    <s v="Female"/>
    <s v="Sports &amp; Travel"/>
    <n v="68.12"/>
    <n v="120"/>
    <n v="1"/>
    <s v="Ewallet"/>
    <n v="6.8"/>
    <n v="51.879999999999995"/>
    <n v="10.375999999999999"/>
    <s v="Joe"/>
    <x v="7"/>
    <s v="CA"/>
  </r>
  <r>
    <d v="2024-01-07T00:00:00"/>
    <s v="Manhattan"/>
    <s v="Member"/>
    <s v="Male"/>
    <s v="Electronics"/>
    <n v="77.72"/>
    <n v="120"/>
    <n v="4"/>
    <s v="Credit card"/>
    <n v="8.8000000000000007"/>
    <n v="42.28"/>
    <n v="8.4560000000000013"/>
    <s v="Ope"/>
    <x v="8"/>
    <s v="NZ"/>
  </r>
  <r>
    <d v="2024-01-07T00:00:00"/>
    <s v="Manhattan"/>
    <s v="Member"/>
    <s v="Female"/>
    <s v="Home &amp; Lifestyle"/>
    <n v="21.54"/>
    <n v="120"/>
    <n v="9"/>
    <s v="Credit card"/>
    <n v="8.8000000000000007"/>
    <n v="98.460000000000008"/>
    <n v="19.692000000000004"/>
    <s v="Ohio"/>
    <x v="9"/>
    <s v="AZ"/>
  </r>
  <r>
    <d v="2024-01-07T00:00:00"/>
    <s v="Brooklyn"/>
    <s v="Member"/>
    <s v="Female"/>
    <s v="Fashion &amp; Accs"/>
    <n v="97.61"/>
    <n v="120"/>
    <n v="6"/>
    <s v="Ewallet"/>
    <n v="9.9"/>
    <n v="22.39"/>
    <n v="4.4780000000000006"/>
    <s v="Adeleke"/>
    <x v="10"/>
    <s v="AZ"/>
  </r>
  <r>
    <d v="2024-01-07T00:00:00"/>
    <s v="Manhattan"/>
    <s v="Normal"/>
    <s v="Male"/>
    <s v="Sports &amp; Travel"/>
    <n v="60.95"/>
    <n v="120"/>
    <n v="9"/>
    <s v="Credit card"/>
    <n v="6"/>
    <n v="59.05"/>
    <n v="11.81"/>
    <s v="Adeleke"/>
    <x v="11"/>
    <s v="AZ"/>
  </r>
  <r>
    <d v="2024-01-07T00:00:00"/>
    <s v="Brooklyn"/>
    <s v="Member"/>
    <s v="Female"/>
    <s v="Food &amp; Beverages"/>
    <n v="89.14"/>
    <n v="120"/>
    <n v="4"/>
    <s v="Credit card"/>
    <n v="7.8"/>
    <n v="30.86"/>
    <n v="6.1720000000000006"/>
    <s v="Omoloye"/>
    <x v="12"/>
    <s v="NM"/>
  </r>
  <r>
    <d v="2024-01-08T00:00:00"/>
    <s v="Queens"/>
    <s v="Member"/>
    <s v="Female"/>
    <s v="Fashion &amp; Accs"/>
    <n v="51.89"/>
    <n v="120"/>
    <n v="7"/>
    <s v="Cash"/>
    <n v="4.5"/>
    <n v="68.11"/>
    <n v="13.622"/>
    <s v="Pearson"/>
    <x v="13"/>
    <s v="NM"/>
  </r>
  <r>
    <d v="2024-01-08T00:00:00"/>
    <s v="Brooklyn"/>
    <s v="Member"/>
    <s v="Female"/>
    <s v="Food &amp; Beverages"/>
    <n v="33.21"/>
    <n v="120"/>
    <n v="10"/>
    <s v="Ewallet"/>
    <n v="6"/>
    <n v="86.789999999999992"/>
    <n v="17.358000000000001"/>
    <s v="Orenze"/>
    <x v="14"/>
    <s v="AZ"/>
  </r>
  <r>
    <d v="2024-01-08T00:00:00"/>
    <s v="Queens"/>
    <s v="Normal"/>
    <s v="Female"/>
    <s v="Fashion &amp; Accs"/>
    <n v="31.73"/>
    <n v="120"/>
    <n v="9"/>
    <s v="Credit card"/>
    <n v="5.9"/>
    <n v="88.27"/>
    <n v="17.654"/>
    <s v="Amodu"/>
    <x v="15"/>
    <s v="CA"/>
  </r>
  <r>
    <d v="2024-01-08T00:00:00"/>
    <s v="Brooklyn"/>
    <s v="Member"/>
    <s v="Female"/>
    <s v="Home &amp; Lifestyle"/>
    <n v="49.1"/>
    <n v="120"/>
    <n v="2"/>
    <s v="Credit card"/>
    <n v="6.4"/>
    <n v="70.900000000000006"/>
    <n v="14.180000000000001"/>
    <s v="Olunloyo"/>
    <x v="14"/>
    <s v="CO"/>
  </r>
  <r>
    <d v="2024-01-08T00:00:00"/>
    <s v="Queens"/>
    <s v="Normal"/>
    <s v="Female"/>
    <s v="Home &amp; Lifestyle"/>
    <n v="45.38"/>
    <n v="120"/>
    <n v="4"/>
    <s v="Credit card"/>
    <n v="8.6999999999999993"/>
    <n v="74.62"/>
    <n v="14.924000000000001"/>
    <s v="Ariwodo"/>
    <x v="0"/>
    <s v="AZ"/>
  </r>
  <r>
    <d v="2024-01-08T00:00:00"/>
    <s v="Queens"/>
    <s v="Member"/>
    <s v="Male"/>
    <s v="Home &amp; Lifestyle"/>
    <n v="55.57"/>
    <n v="120"/>
    <n v="3"/>
    <s v="Credit card"/>
    <n v="5.9"/>
    <n v="64.430000000000007"/>
    <n v="12.886000000000003"/>
    <s v="Micheal"/>
    <x v="1"/>
    <s v="CO"/>
  </r>
  <r>
    <d v="2024-01-08T00:00:00"/>
    <s v="Queens"/>
    <s v="Member"/>
    <s v="Female"/>
    <s v="Food &amp; Beverages"/>
    <n v="68.540000000000006"/>
    <n v="120"/>
    <n v="8"/>
    <s v="Ewallet"/>
    <n v="8.5"/>
    <n v="51.459999999999994"/>
    <n v="10.292"/>
    <s v="Olawuyi"/>
    <x v="2"/>
    <s v="NY"/>
  </r>
  <r>
    <d v="2024-01-08T00:00:00"/>
    <s v="Brooklyn"/>
    <s v="Member"/>
    <s v="Male"/>
    <s v="Fashion &amp; Accs"/>
    <n v="65.23"/>
    <n v="120"/>
    <n v="10"/>
    <s v="Credit card"/>
    <n v="5.2"/>
    <n v="54.769999999999996"/>
    <n v="10.954000000000001"/>
    <s v="Arimoro"/>
    <x v="3"/>
    <s v="MN"/>
  </r>
  <r>
    <d v="2024-01-08T00:00:00"/>
    <s v="Queens"/>
    <s v="Normal"/>
    <s v="Male"/>
    <s v="Fashion &amp; Accs"/>
    <n v="12.78"/>
    <n v="120"/>
    <n v="1"/>
    <s v="Ewallet"/>
    <n v="9.5"/>
    <n v="107.22"/>
    <n v="21.444000000000003"/>
    <s v="Zouma"/>
    <x v="4"/>
    <s v="MA"/>
  </r>
  <r>
    <d v="2024-01-08T00:00:00"/>
    <s v="Brooklyn"/>
    <s v="Member"/>
    <s v="Female"/>
    <s v="Food &amp; Beverages"/>
    <n v="74.599999999999994"/>
    <n v="120"/>
    <n v="10"/>
    <s v="Cash"/>
    <n v="9.5"/>
    <n v="45.400000000000006"/>
    <n v="9.0800000000000018"/>
    <s v="Ayeni"/>
    <x v="5"/>
    <s v="PA"/>
  </r>
  <r>
    <d v="2024-01-08T00:00:00"/>
    <s v="Brooklyn"/>
    <s v="Member"/>
    <s v="Female"/>
    <s v="Sports &amp; Travel"/>
    <n v="64.83"/>
    <n v="120"/>
    <n v="2"/>
    <s v="Credit card"/>
    <n v="8"/>
    <n v="55.17"/>
    <n v="11.034000000000001"/>
    <s v="Comfort"/>
    <x v="6"/>
    <s v="MI"/>
  </r>
  <r>
    <d v="2024-01-08T00:00:00"/>
    <s v="Manhattan"/>
    <s v="Normal"/>
    <s v="Male"/>
    <s v="Sports &amp; Travel"/>
    <n v="37.14"/>
    <n v="120"/>
    <n v="5"/>
    <s v="Ewallet"/>
    <n v="5"/>
    <n v="82.86"/>
    <n v="16.571999999999999"/>
    <s v="Joe"/>
    <x v="7"/>
    <s v="KY"/>
  </r>
  <r>
    <d v="2024-01-08T00:00:00"/>
    <s v="Manhattan"/>
    <s v="Normal"/>
    <s v="Female"/>
    <s v="Electronics"/>
    <n v="50.23"/>
    <n v="120"/>
    <n v="4"/>
    <s v="Cash"/>
    <n v="9"/>
    <n v="69.77000000000001"/>
    <n v="13.954000000000002"/>
    <s v="Ope"/>
    <x v="8"/>
    <s v="NM"/>
  </r>
  <r>
    <d v="2024-01-08T00:00:00"/>
    <s v="Manhattan"/>
    <s v="Member"/>
    <s v="Male"/>
    <s v="Sports &amp; Travel"/>
    <n v="12.76"/>
    <n v="120"/>
    <n v="2"/>
    <s v="Ewallet"/>
    <n v="7.8"/>
    <n v="107.24"/>
    <n v="21.448"/>
    <s v="Ohio"/>
    <x v="9"/>
    <s v="CA"/>
  </r>
  <r>
    <d v="2024-01-08T00:00:00"/>
    <s v="Manhattan"/>
    <s v="Member"/>
    <s v="Female"/>
    <s v="Electronics"/>
    <n v="79.59"/>
    <n v="120"/>
    <n v="3"/>
    <s v="Cash"/>
    <n v="6.6"/>
    <n v="40.409999999999997"/>
    <n v="8.081999999999999"/>
    <s v="Adeleke"/>
    <x v="10"/>
    <s v="NZ"/>
  </r>
  <r>
    <d v="2024-01-08T00:00:00"/>
    <s v="Brooklyn"/>
    <s v="Member"/>
    <s v="Female"/>
    <s v="Sports &amp; Travel"/>
    <n v="48.5"/>
    <n v="120"/>
    <n v="3"/>
    <s v="Cash"/>
    <n v="6.7"/>
    <n v="71.5"/>
    <n v="14.3"/>
    <s v="Adeleke"/>
    <x v="11"/>
    <s v="AZ"/>
  </r>
  <r>
    <d v="2024-01-08T00:00:00"/>
    <s v="Queens"/>
    <s v="Member"/>
    <s v="Male"/>
    <s v="Food &amp; Beverages"/>
    <n v="24.31"/>
    <n v="120"/>
    <n v="3"/>
    <s v="Credit card"/>
    <n v="4.3"/>
    <n v="95.69"/>
    <n v="19.138000000000002"/>
    <s v="Omoloye"/>
    <x v="12"/>
    <s v="AZ"/>
  </r>
  <r>
    <d v="2024-01-08T00:00:00"/>
    <s v="Queens"/>
    <s v="Member"/>
    <s v="Female"/>
    <s v="Food &amp; Beverages"/>
    <n v="72.88"/>
    <n v="120"/>
    <n v="9"/>
    <s v="Cash"/>
    <n v="4"/>
    <n v="47.120000000000005"/>
    <n v="9.4240000000000013"/>
    <s v="Pearson"/>
    <x v="13"/>
    <s v="AZ"/>
  </r>
  <r>
    <d v="2024-01-09T00:00:00"/>
    <s v="Brooklyn"/>
    <s v="Member"/>
    <s v="Female"/>
    <s v="Sports &amp; Travel"/>
    <n v="11.85"/>
    <n v="120"/>
    <n v="8"/>
    <s v="Cash"/>
    <n v="4.0999999999999996"/>
    <n v="108.15"/>
    <n v="21.630000000000003"/>
    <s v="Orenze"/>
    <x v="14"/>
    <s v="NM"/>
  </r>
  <r>
    <d v="2024-01-09T00:00:00"/>
    <s v="Queens"/>
    <s v="Normal"/>
    <s v="Male"/>
    <s v="Electronics"/>
    <n v="96.37"/>
    <n v="120"/>
    <n v="7"/>
    <s v="Cash"/>
    <n v="6"/>
    <n v="23.629999999999995"/>
    <n v="4.7259999999999991"/>
    <s v="Amodu"/>
    <x v="15"/>
    <s v="NM"/>
  </r>
  <r>
    <d v="2024-01-09T00:00:00"/>
    <s v="Queens"/>
    <s v="Normal"/>
    <s v="Female"/>
    <s v="Fashion &amp; Accs"/>
    <n v="49.32"/>
    <n v="120"/>
    <n v="6"/>
    <s v="Ewallet"/>
    <n v="7.1"/>
    <n v="70.680000000000007"/>
    <n v="14.136000000000003"/>
    <s v="Olunloyo"/>
    <x v="14"/>
    <s v="AZ"/>
  </r>
  <r>
    <d v="2024-01-09T00:00:00"/>
    <s v="Brooklyn"/>
    <s v="Member"/>
    <s v="Female"/>
    <s v="Home &amp; Lifestyle"/>
    <n v="21.9"/>
    <n v="120"/>
    <n v="3"/>
    <s v="Ewallet"/>
    <n v="4.7"/>
    <n v="98.1"/>
    <n v="19.62"/>
    <s v="Ariwodo"/>
    <x v="0"/>
    <s v="CA"/>
  </r>
  <r>
    <d v="2024-01-09T00:00:00"/>
    <s v="Manhattan"/>
    <s v="Member"/>
    <s v="Male"/>
    <s v="Fashion &amp; Accs"/>
    <n v="38.54"/>
    <n v="120"/>
    <n v="5"/>
    <s v="Ewallet"/>
    <n v="5.6"/>
    <n v="81.460000000000008"/>
    <n v="16.292000000000002"/>
    <s v="Micheal"/>
    <x v="1"/>
    <s v="CO"/>
  </r>
  <r>
    <d v="2024-01-09T00:00:00"/>
    <s v="Queens"/>
    <s v="Member"/>
    <s v="Male"/>
    <s v="Fashion &amp; Accs"/>
    <n v="49.04"/>
    <n v="120"/>
    <n v="9"/>
    <s v="Credit card"/>
    <n v="8.6"/>
    <n v="70.960000000000008"/>
    <n v="14.192000000000002"/>
    <s v="Olawuyi"/>
    <x v="2"/>
    <s v="AZ"/>
  </r>
  <r>
    <d v="2024-01-09T00:00:00"/>
    <s v="Queens"/>
    <s v="Normal"/>
    <s v="Female"/>
    <s v="Home &amp; Lifestyle"/>
    <n v="15.8"/>
    <n v="120"/>
    <n v="10"/>
    <s v="Cash"/>
    <n v="7.8"/>
    <n v="104.2"/>
    <n v="20.840000000000003"/>
    <s v="Arimoro"/>
    <x v="3"/>
    <s v="CO"/>
  </r>
  <r>
    <d v="2024-01-09T00:00:00"/>
    <s v="Queens"/>
    <s v="Normal"/>
    <s v="Female"/>
    <s v="Sports &amp; Travel"/>
    <n v="95.44"/>
    <n v="120"/>
    <n v="10"/>
    <s v="Cash"/>
    <n v="5.2"/>
    <n v="24.560000000000002"/>
    <n v="4.9120000000000008"/>
    <s v="Zouma"/>
    <x v="4"/>
    <s v="NY"/>
  </r>
  <r>
    <d v="2024-01-10T00:00:00"/>
    <s v="Brooklyn"/>
    <s v="Normal"/>
    <s v="Female"/>
    <s v="Fashion &amp; Accs"/>
    <n v="79.86"/>
    <n v="120"/>
    <n v="7"/>
    <s v="Credit card"/>
    <n v="5.5"/>
    <n v="40.14"/>
    <n v="8.0280000000000005"/>
    <s v="Ayeni"/>
    <x v="5"/>
    <s v="MN"/>
  </r>
  <r>
    <d v="2024-01-10T00:00:00"/>
    <s v="Queens"/>
    <s v="Member"/>
    <s v="Male"/>
    <s v="Electronics"/>
    <n v="74.790000000000006"/>
    <n v="120"/>
    <n v="5"/>
    <s v="Cash"/>
    <n v="4.9000000000000004"/>
    <n v="45.209999999999994"/>
    <n v="9.0419999999999998"/>
    <s v="Comfort"/>
    <x v="6"/>
    <s v="MA"/>
  </r>
  <r>
    <d v="2024-01-10T00:00:00"/>
    <s v="Manhattan"/>
    <s v="Member"/>
    <s v="Female"/>
    <s v="Health &amp; Beauty"/>
    <n v="36.26"/>
    <n v="120"/>
    <n v="2"/>
    <s v="Credit card"/>
    <n v="7.2"/>
    <n v="83.740000000000009"/>
    <n v="16.748000000000001"/>
    <s v="Joe"/>
    <x v="7"/>
    <s v="PA"/>
  </r>
  <r>
    <d v="2024-01-10T00:00:00"/>
    <s v="Brooklyn"/>
    <s v="Normal"/>
    <s v="Female"/>
    <s v="Electronics"/>
    <n v="13.78"/>
    <n v="120"/>
    <n v="4"/>
    <s v="Ewallet"/>
    <n v="9"/>
    <n v="106.22"/>
    <n v="21.244"/>
    <s v="Ope"/>
    <x v="8"/>
    <s v="MI"/>
  </r>
  <r>
    <d v="2024-01-10T00:00:00"/>
    <s v="Queens"/>
    <s v="Member"/>
    <s v="Male"/>
    <s v="Food &amp; Beverages"/>
    <n v="50.49"/>
    <n v="120"/>
    <n v="9"/>
    <s v="Cash"/>
    <n v="5.4"/>
    <n v="69.509999999999991"/>
    <n v="13.901999999999999"/>
    <s v="Ohio"/>
    <x v="9"/>
    <s v="KY"/>
  </r>
  <r>
    <d v="2024-01-10T00:00:00"/>
    <s v="Manhattan"/>
    <s v="Member"/>
    <s v="Male"/>
    <s v="Home &amp; Lifestyle"/>
    <n v="78.38"/>
    <n v="120"/>
    <n v="6"/>
    <s v="Ewallet"/>
    <n v="5.8"/>
    <n v="41.620000000000005"/>
    <n v="8.3240000000000016"/>
    <s v="Adeleke"/>
    <x v="10"/>
    <s v="NM"/>
  </r>
  <r>
    <d v="2024-01-10T00:00:00"/>
    <s v="Manhattan"/>
    <s v="Member"/>
    <s v="Female"/>
    <s v="Sports &amp; Travel"/>
    <n v="21.98"/>
    <n v="120"/>
    <n v="7"/>
    <s v="Ewallet"/>
    <n v="5.0999999999999996"/>
    <n v="98.02"/>
    <n v="19.603999999999999"/>
    <s v="Adeleke"/>
    <x v="11"/>
    <s v="CA"/>
  </r>
  <r>
    <d v="2024-01-10T00:00:00"/>
    <s v="Queens"/>
    <s v="Normal"/>
    <s v="Female"/>
    <s v="Sports &amp; Travel"/>
    <n v="83.14"/>
    <n v="120"/>
    <n v="7"/>
    <s v="Credit card"/>
    <n v="6.6"/>
    <n v="36.86"/>
    <n v="7.3719999999999999"/>
    <s v="Omoloye"/>
    <x v="12"/>
    <s v="NZ"/>
  </r>
  <r>
    <d v="2024-01-10T00:00:00"/>
    <s v="Brooklyn"/>
    <s v="Normal"/>
    <s v="Male"/>
    <s v="Sports &amp; Travel"/>
    <n v="83.78"/>
    <n v="120"/>
    <n v="8"/>
    <s v="Cash"/>
    <n v="5.0999999999999996"/>
    <n v="36.22"/>
    <n v="7.2439999999999998"/>
    <s v="Pearson"/>
    <x v="13"/>
    <s v="AZ"/>
  </r>
  <r>
    <d v="2024-01-11T00:00:00"/>
    <s v="Manhattan"/>
    <s v="Normal"/>
    <s v="Male"/>
    <s v="Food &amp; Beverages"/>
    <n v="24.94"/>
    <n v="120"/>
    <n v="9"/>
    <s v="Credit card"/>
    <n v="5.6"/>
    <n v="95.06"/>
    <n v="19.012"/>
    <s v="Orenze"/>
    <x v="14"/>
    <s v="AZ"/>
  </r>
  <r>
    <d v="2024-01-11T00:00:00"/>
    <s v="Manhattan"/>
    <s v="Normal"/>
    <s v="Male"/>
    <s v="Fashion &amp; Accs"/>
    <n v="89.69"/>
    <n v="120"/>
    <n v="1"/>
    <s v="Ewallet"/>
    <n v="4.9000000000000004"/>
    <n v="30.310000000000002"/>
    <n v="6.0620000000000012"/>
    <s v="Amodu"/>
    <x v="15"/>
    <s v="AZ"/>
  </r>
  <r>
    <d v="2024-01-11T00:00:00"/>
    <s v="Queens"/>
    <s v="Member"/>
    <s v="Female"/>
    <s v="Food &amp; Beverages"/>
    <n v="36.770000000000003"/>
    <n v="120"/>
    <n v="7"/>
    <s v="Cash"/>
    <n v="7.4"/>
    <n v="83.22999999999999"/>
    <n v="16.645999999999997"/>
    <s v="Olunloyo"/>
    <x v="14"/>
    <s v="NM"/>
  </r>
  <r>
    <d v="2024-01-11T00:00:00"/>
    <s v="Manhattan"/>
    <s v="Member"/>
    <s v="Male"/>
    <s v="Sports &amp; Travel"/>
    <n v="82.33"/>
    <n v="120"/>
    <n v="4"/>
    <s v="Credit card"/>
    <n v="7.5"/>
    <n v="37.67"/>
    <n v="7.5340000000000007"/>
    <s v="Ariwodo"/>
    <x v="0"/>
    <s v="NM"/>
  </r>
  <r>
    <d v="2024-01-11T00:00:00"/>
    <s v="Queens"/>
    <s v="Member"/>
    <s v="Female"/>
    <s v="Sports &amp; Travel"/>
    <n v="87.16"/>
    <n v="120"/>
    <n v="2"/>
    <s v="Credit card"/>
    <n v="9.6999999999999993"/>
    <n v="32.840000000000003"/>
    <n v="6.5680000000000014"/>
    <s v="Micheal"/>
    <x v="1"/>
    <s v="AZ"/>
  </r>
  <r>
    <d v="2024-01-11T00:00:00"/>
    <s v="Manhattan"/>
    <s v="Member"/>
    <s v="Male"/>
    <s v="Food &amp; Beverages"/>
    <n v="48.5"/>
    <n v="120"/>
    <n v="6"/>
    <s v="Ewallet"/>
    <n v="9.4"/>
    <n v="71.5"/>
    <n v="14.3"/>
    <s v="Olawuyi"/>
    <x v="2"/>
    <s v="CA"/>
  </r>
  <r>
    <d v="2024-01-11T00:00:00"/>
    <s v="Manhattan"/>
    <s v="Normal"/>
    <s v="Female"/>
    <s v="Home &amp; Lifestyle"/>
    <n v="96.52"/>
    <n v="120"/>
    <n v="6"/>
    <s v="Cash"/>
    <n v="4.5"/>
    <n v="23.480000000000004"/>
    <n v="4.6960000000000006"/>
    <s v="Arimoro"/>
    <x v="3"/>
    <s v="CO"/>
  </r>
  <r>
    <d v="2024-01-11T00:00:00"/>
    <s v="Manhattan"/>
    <s v="Normal"/>
    <s v="Male"/>
    <s v="Food &amp; Beverages"/>
    <n v="13.79"/>
    <n v="120"/>
    <n v="5"/>
    <s v="Credit card"/>
    <n v="7.8"/>
    <n v="106.21000000000001"/>
    <n v="21.242000000000004"/>
    <s v="Zouma"/>
    <x v="4"/>
    <s v="AZ"/>
  </r>
  <r>
    <d v="2024-01-12T00:00:00"/>
    <s v="Queens"/>
    <s v="Member"/>
    <s v="Male"/>
    <s v="Sports &amp; Travel"/>
    <n v="57.12"/>
    <n v="120"/>
    <n v="7"/>
    <s v="Credit card"/>
    <n v="6.5"/>
    <n v="62.88"/>
    <n v="12.576000000000001"/>
    <s v="Ayeni"/>
    <x v="5"/>
    <s v="CO"/>
  </r>
  <r>
    <d v="2024-01-12T00:00:00"/>
    <s v="Brooklyn"/>
    <s v="Normal"/>
    <s v="Female"/>
    <s v="Health &amp; Beauty"/>
    <n v="57.22"/>
    <n v="120"/>
    <n v="2"/>
    <s v="Ewallet"/>
    <n v="8.3000000000000007"/>
    <n v="62.78"/>
    <n v="12.556000000000001"/>
    <s v="Comfort"/>
    <x v="6"/>
    <s v="NY"/>
  </r>
  <r>
    <d v="2024-01-12T00:00:00"/>
    <s v="Brooklyn"/>
    <s v="Member"/>
    <s v="Male"/>
    <s v="Electronics"/>
    <n v="91.56"/>
    <n v="120"/>
    <n v="8"/>
    <s v="Ewallet"/>
    <n v="6"/>
    <n v="28.439999999999998"/>
    <n v="5.6879999999999997"/>
    <s v="Joe"/>
    <x v="7"/>
    <s v="MN"/>
  </r>
  <r>
    <d v="2024-01-12T00:00:00"/>
    <s v="Brooklyn"/>
    <s v="Member"/>
    <s v="Female"/>
    <s v="Health &amp; Beauty"/>
    <n v="27.07"/>
    <n v="120"/>
    <n v="1"/>
    <s v="Credit card"/>
    <n v="5.3"/>
    <n v="92.93"/>
    <n v="18.586000000000002"/>
    <s v="Ope"/>
    <x v="8"/>
    <s v="MA"/>
  </r>
  <r>
    <d v="2024-01-12T00:00:00"/>
    <s v="Brooklyn"/>
    <s v="Normal"/>
    <s v="Female"/>
    <s v="Fashion &amp; Accs"/>
    <n v="83.25"/>
    <n v="120"/>
    <n v="10"/>
    <s v="Credit card"/>
    <n v="4.4000000000000004"/>
    <n v="36.75"/>
    <n v="7.3500000000000005"/>
    <s v="Ohio"/>
    <x v="9"/>
    <s v="PA"/>
  </r>
  <r>
    <d v="2024-01-12T00:00:00"/>
    <s v="Manhattan"/>
    <s v="Member"/>
    <s v="Male"/>
    <s v="Electronics"/>
    <n v="88.67"/>
    <n v="120"/>
    <n v="10"/>
    <s v="Ewallet"/>
    <n v="7.3"/>
    <n v="31.33"/>
    <n v="6.266"/>
    <s v="Adeleke"/>
    <x v="10"/>
    <s v="MI"/>
  </r>
  <r>
    <d v="2024-01-12T00:00:00"/>
    <s v="Manhattan"/>
    <s v="Normal"/>
    <s v="Female"/>
    <s v="Fashion &amp; Accs"/>
    <n v="29.42"/>
    <n v="120"/>
    <n v="10"/>
    <s v="Ewallet"/>
    <n v="8.9"/>
    <n v="90.58"/>
    <n v="18.116"/>
    <s v="Adeleke"/>
    <x v="11"/>
    <s v="KY"/>
  </r>
  <r>
    <d v="2024-01-12T00:00:00"/>
    <s v="Manhattan"/>
    <s v="Member"/>
    <s v="Female"/>
    <s v="Fashion &amp; Accs"/>
    <n v="20.010000000000002"/>
    <n v="120"/>
    <n v="9"/>
    <s v="Credit card"/>
    <n v="5.7"/>
    <n v="99.99"/>
    <n v="19.998000000000001"/>
    <s v="Omoloye"/>
    <x v="12"/>
    <s v="NM"/>
  </r>
  <r>
    <d v="2024-01-12T00:00:00"/>
    <s v="Brooklyn"/>
    <s v="Normal"/>
    <s v="Male"/>
    <s v="Sports &amp; Travel"/>
    <n v="23.01"/>
    <n v="120"/>
    <n v="6"/>
    <s v="Ewallet"/>
    <n v="7.9"/>
    <n v="96.99"/>
    <n v="19.398"/>
    <s v="Pearson"/>
    <x v="13"/>
    <s v="CA"/>
  </r>
  <r>
    <d v="2024-01-12T00:00:00"/>
    <s v="Queens"/>
    <s v="Normal"/>
    <s v="Male"/>
    <s v="Home &amp; Lifestyle"/>
    <n v="97.5"/>
    <n v="120"/>
    <n v="10"/>
    <s v="Ewallet"/>
    <n v="8"/>
    <n v="22.5"/>
    <n v="4.5"/>
    <s v="Orenze"/>
    <x v="14"/>
    <s v="NZ"/>
  </r>
  <r>
    <d v="2024-01-12T00:00:00"/>
    <s v="Brooklyn"/>
    <s v="Normal"/>
    <s v="Female"/>
    <s v="Home &amp; Lifestyle"/>
    <n v="51.07"/>
    <n v="120"/>
    <n v="7"/>
    <s v="Cash"/>
    <n v="7"/>
    <n v="68.930000000000007"/>
    <n v="13.786000000000001"/>
    <s v="Amodu"/>
    <x v="15"/>
    <s v="AZ"/>
  </r>
  <r>
    <d v="2024-01-13T00:00:00"/>
    <s v="Brooklyn"/>
    <s v="Member"/>
    <s v="Male"/>
    <s v="Sports &amp; Travel"/>
    <n v="72.599999999999994"/>
    <n v="120"/>
    <n v="6"/>
    <s v="Cash"/>
    <n v="6.9"/>
    <n v="47.400000000000006"/>
    <n v="9.4800000000000022"/>
    <s v="Olunloyo"/>
    <x v="14"/>
    <s v="AZ"/>
  </r>
  <r>
    <d v="2024-01-13T00:00:00"/>
    <s v="Manhattan"/>
    <s v="Member"/>
    <s v="Male"/>
    <s v="Home &amp; Lifestyle"/>
    <n v="81.010000000000005"/>
    <n v="120"/>
    <n v="3"/>
    <s v="Credit card"/>
    <n v="9.3000000000000007"/>
    <n v="38.989999999999995"/>
    <n v="7.7979999999999992"/>
    <s v="Ariwodo"/>
    <x v="0"/>
    <s v="AZ"/>
  </r>
  <r>
    <d v="2024-01-13T00:00:00"/>
    <s v="Queens"/>
    <s v="Member"/>
    <s v="Female"/>
    <s v="Fashion &amp; Accs"/>
    <n v="74.290000000000006"/>
    <n v="120"/>
    <n v="1"/>
    <s v="Cash"/>
    <n v="5"/>
    <n v="45.709999999999994"/>
    <n v="9.1419999999999995"/>
    <s v="Micheal"/>
    <x v="1"/>
    <s v="NM"/>
  </r>
  <r>
    <d v="2024-01-13T00:00:00"/>
    <s v="Manhattan"/>
    <s v="Normal"/>
    <s v="Female"/>
    <s v="Electronics"/>
    <n v="23.46"/>
    <n v="120"/>
    <n v="6"/>
    <s v="Ewallet"/>
    <n v="6.4"/>
    <n v="96.539999999999992"/>
    <n v="19.308"/>
    <s v="Olawuyi"/>
    <x v="2"/>
    <s v="NM"/>
  </r>
  <r>
    <d v="2024-01-13T00:00:00"/>
    <s v="Manhattan"/>
    <s v="Member"/>
    <s v="Female"/>
    <s v="Health &amp; Beauty"/>
    <n v="39.619999999999997"/>
    <n v="120"/>
    <n v="9"/>
    <s v="Credit card"/>
    <n v="6.8"/>
    <n v="80.38"/>
    <n v="16.076000000000001"/>
    <s v="Arimoro"/>
    <x v="3"/>
    <s v="AZ"/>
  </r>
  <r>
    <d v="2024-01-13T00:00:00"/>
    <s v="Queens"/>
    <s v="Member"/>
    <s v="Female"/>
    <s v="Food &amp; Beverages"/>
    <n v="21.04"/>
    <n v="120"/>
    <n v="4"/>
    <s v="Cash"/>
    <n v="7.6"/>
    <n v="98.960000000000008"/>
    <n v="19.792000000000002"/>
    <s v="Zouma"/>
    <x v="4"/>
    <s v="CA"/>
  </r>
  <r>
    <d v="2024-01-13T00:00:00"/>
    <s v="Brooklyn"/>
    <s v="Member"/>
    <s v="Male"/>
    <s v="Fashion &amp; Accs"/>
    <n v="59.86"/>
    <n v="120"/>
    <n v="2"/>
    <s v="Ewallet"/>
    <n v="6.7"/>
    <n v="60.14"/>
    <n v="12.028"/>
    <s v="Ayeni"/>
    <x v="5"/>
    <s v="CO"/>
  </r>
  <r>
    <d v="2024-01-13T00:00:00"/>
    <s v="Brooklyn"/>
    <s v="Normal"/>
    <s v="Male"/>
    <s v="Food &amp; Beverages"/>
    <n v="72.39"/>
    <n v="120"/>
    <n v="2"/>
    <s v="Credit card"/>
    <n v="8.1"/>
    <n v="47.61"/>
    <n v="9.5220000000000002"/>
    <s v="Comfort"/>
    <x v="6"/>
    <s v="AZ"/>
  </r>
  <r>
    <d v="2024-01-13T00:00:00"/>
    <s v="Manhattan"/>
    <s v="Normal"/>
    <s v="Male"/>
    <s v="Sports &amp; Travel"/>
    <n v="45.58"/>
    <n v="120"/>
    <n v="7"/>
    <s v="Cash"/>
    <n v="5"/>
    <n v="74.42"/>
    <n v="14.884"/>
    <s v="Joe"/>
    <x v="7"/>
    <s v="CO"/>
  </r>
  <r>
    <d v="2024-01-13T00:00:00"/>
    <s v="Queens"/>
    <s v="Normal"/>
    <s v="Female"/>
    <s v="Electronics"/>
    <n v="41.65"/>
    <n v="120"/>
    <n v="10"/>
    <s v="Credit card"/>
    <n v="5.4"/>
    <n v="78.349999999999994"/>
    <n v="15.67"/>
    <s v="Ope"/>
    <x v="8"/>
    <s v="NY"/>
  </r>
  <r>
    <d v="2024-01-14T00:00:00"/>
    <s v="Queens"/>
    <s v="Member"/>
    <s v="Male"/>
    <s v="Health &amp; Beauty"/>
    <n v="60.47"/>
    <n v="120"/>
    <n v="3"/>
    <s v="Credit card"/>
    <n v="5.6"/>
    <n v="59.53"/>
    <n v="11.906000000000001"/>
    <s v="Ohio"/>
    <x v="9"/>
    <s v="MN"/>
  </r>
  <r>
    <d v="2024-01-14T00:00:00"/>
    <s v="Brooklyn"/>
    <s v="Normal"/>
    <s v="Female"/>
    <s v="Sports &amp; Travel"/>
    <n v="34.81"/>
    <n v="120"/>
    <n v="1"/>
    <s v="Credit card"/>
    <n v="7"/>
    <n v="85.19"/>
    <n v="17.038"/>
    <s v="Adeleke"/>
    <x v="10"/>
    <s v="MA"/>
  </r>
  <r>
    <d v="2024-01-14T00:00:00"/>
    <s v="Brooklyn"/>
    <s v="Member"/>
    <s v="Female"/>
    <s v="Fashion &amp; Accs"/>
    <n v="18.079999999999998"/>
    <n v="120"/>
    <n v="4"/>
    <s v="Credit card"/>
    <n v="9.5"/>
    <n v="101.92"/>
    <n v="20.384"/>
    <s v="Adeleke"/>
    <x v="11"/>
    <s v="PA"/>
  </r>
  <r>
    <d v="2024-01-14T00:00:00"/>
    <s v="Manhattan"/>
    <s v="Member"/>
    <s v="Female"/>
    <s v="Fashion &amp; Accs"/>
    <n v="96.7"/>
    <n v="120"/>
    <n v="5"/>
    <s v="Ewallet"/>
    <n v="7"/>
    <n v="23.299999999999997"/>
    <n v="4.6599999999999993"/>
    <s v="Omoloye"/>
    <x v="12"/>
    <s v="MI"/>
  </r>
  <r>
    <d v="2024-01-14T00:00:00"/>
    <s v="Brooklyn"/>
    <s v="Normal"/>
    <s v="Female"/>
    <s v="Food &amp; Beverages"/>
    <n v="99.69"/>
    <n v="120"/>
    <n v="5"/>
    <s v="Cash"/>
    <n v="9.9"/>
    <n v="20.310000000000002"/>
    <n v="4.0620000000000003"/>
    <s v="Pearson"/>
    <x v="13"/>
    <s v="KY"/>
  </r>
  <r>
    <d v="2024-01-14T00:00:00"/>
    <s v="Brooklyn"/>
    <s v="Normal"/>
    <s v="Female"/>
    <s v="Health &amp; Beauty"/>
    <n v="17.75"/>
    <n v="120"/>
    <n v="1"/>
    <s v="Cash"/>
    <n v="8.6"/>
    <n v="102.25"/>
    <n v="20.450000000000003"/>
    <s v="Orenze"/>
    <x v="14"/>
    <s v="NM"/>
  </r>
  <r>
    <d v="2024-01-14T00:00:00"/>
    <s v="Queens"/>
    <s v="Normal"/>
    <s v="Male"/>
    <s v="Food &amp; Beverages"/>
    <n v="84.83"/>
    <n v="120"/>
    <n v="1"/>
    <s v="Ewallet"/>
    <n v="8.8000000000000007"/>
    <n v="35.17"/>
    <n v="7.0340000000000007"/>
    <s v="Amodu"/>
    <x v="15"/>
    <s v="CA"/>
  </r>
  <r>
    <d v="2024-01-14T00:00:00"/>
    <s v="Queens"/>
    <s v="Normal"/>
    <s v="Male"/>
    <s v="Health &amp; Beauty"/>
    <n v="53.19"/>
    <n v="120"/>
    <n v="7"/>
    <s v="Ewallet"/>
    <n v="5"/>
    <n v="66.81"/>
    <n v="13.362000000000002"/>
    <s v="Olunloyo"/>
    <x v="14"/>
    <s v="NZ"/>
  </r>
  <r>
    <d v="2024-01-14T00:00:00"/>
    <s v="Brooklyn"/>
    <s v="Normal"/>
    <s v="Male"/>
    <s v="Food &amp; Beverages"/>
    <n v="73.06"/>
    <n v="120"/>
    <n v="7"/>
    <s v="Credit card"/>
    <n v="4.2"/>
    <n v="46.94"/>
    <n v="9.3879999999999999"/>
    <s v="Ariwodo"/>
    <x v="0"/>
    <s v="AZ"/>
  </r>
  <r>
    <d v="2024-01-14T00:00:00"/>
    <s v="Queens"/>
    <s v="Normal"/>
    <s v="Male"/>
    <s v="Food &amp; Beverages"/>
    <n v="31.77"/>
    <n v="120"/>
    <n v="4"/>
    <s v="Ewallet"/>
    <n v="6.2"/>
    <n v="88.23"/>
    <n v="17.646000000000001"/>
    <s v="Micheal"/>
    <x v="1"/>
    <s v="AZ"/>
  </r>
  <r>
    <d v="2024-01-14T00:00:00"/>
    <s v="Queens"/>
    <s v="Member"/>
    <s v="Female"/>
    <s v="Electronics"/>
    <n v="44.84"/>
    <n v="120"/>
    <n v="9"/>
    <s v="Credit card"/>
    <n v="7.5"/>
    <n v="75.16"/>
    <n v="15.032"/>
    <s v="Olawuyi"/>
    <x v="2"/>
    <s v="AZ"/>
  </r>
  <r>
    <d v="2024-01-14T00:00:00"/>
    <s v="Manhattan"/>
    <s v="Member"/>
    <s v="Male"/>
    <s v="Fashion &amp; Accs"/>
    <n v="56.04"/>
    <n v="120"/>
    <n v="10"/>
    <s v="Ewallet"/>
    <n v="4.4000000000000004"/>
    <n v="63.96"/>
    <n v="12.792000000000002"/>
    <s v="Arimoro"/>
    <x v="3"/>
    <s v="NM"/>
  </r>
  <r>
    <d v="2024-01-14T00:00:00"/>
    <s v="Queens"/>
    <s v="Normal"/>
    <s v="Male"/>
    <s v="Electronics"/>
    <n v="61.41"/>
    <n v="120"/>
    <n v="7"/>
    <s v="Cash"/>
    <n v="9.8000000000000007"/>
    <n v="58.59"/>
    <n v="11.718000000000002"/>
    <s v="Zouma"/>
    <x v="4"/>
    <s v="NM"/>
  </r>
  <r>
    <d v="2024-01-15T00:00:00"/>
    <s v="Manhattan"/>
    <s v="Member"/>
    <s v="Female"/>
    <s v="Home &amp; Lifestyle"/>
    <n v="89.21"/>
    <n v="120"/>
    <n v="9"/>
    <s v="Credit card"/>
    <n v="6.5"/>
    <n v="30.790000000000006"/>
    <n v="6.1580000000000013"/>
    <s v="Ayeni"/>
    <x v="5"/>
    <s v="AZ"/>
  </r>
  <r>
    <d v="2024-01-15T00:00:00"/>
    <s v="Brooklyn"/>
    <s v="Normal"/>
    <s v="Male"/>
    <s v="Electronics"/>
    <n v="75.66"/>
    <n v="120"/>
    <n v="5"/>
    <s v="Ewallet"/>
    <n v="7.8"/>
    <n v="44.34"/>
    <n v="8.8680000000000003"/>
    <s v="Comfort"/>
    <x v="6"/>
    <s v="CA"/>
  </r>
  <r>
    <d v="2024-01-15T00:00:00"/>
    <s v="Brooklyn"/>
    <s v="Normal"/>
    <s v="Female"/>
    <s v="Home &amp; Lifestyle"/>
    <n v="97.37"/>
    <n v="120"/>
    <n v="10"/>
    <s v="Credit card"/>
    <n v="4.9000000000000004"/>
    <n v="22.629999999999995"/>
    <n v="4.5259999999999989"/>
    <s v="Joe"/>
    <x v="7"/>
    <s v="CO"/>
  </r>
  <r>
    <d v="2024-01-15T00:00:00"/>
    <s v="Manhattan"/>
    <s v="Normal"/>
    <s v="Female"/>
    <s v="Sports &amp; Travel"/>
    <n v="19.100000000000001"/>
    <n v="120"/>
    <n v="7"/>
    <s v="Cash"/>
    <n v="9.6999999999999993"/>
    <n v="100.9"/>
    <n v="20.180000000000003"/>
    <s v="Ope"/>
    <x v="8"/>
    <s v="AZ"/>
  </r>
  <r>
    <d v="2024-01-15T00:00:00"/>
    <s v="Manhattan"/>
    <s v="Member"/>
    <s v="Male"/>
    <s v="Food &amp; Beverages"/>
    <n v="83.77"/>
    <n v="120"/>
    <n v="2"/>
    <s v="Credit card"/>
    <n v="7"/>
    <n v="36.230000000000004"/>
    <n v="7.2460000000000013"/>
    <s v="Ohio"/>
    <x v="9"/>
    <s v="CO"/>
  </r>
  <r>
    <d v="2024-01-15T00:00:00"/>
    <s v="Queens"/>
    <s v="Normal"/>
    <s v="Male"/>
    <s v="Electronics"/>
    <n v="55.87"/>
    <n v="120"/>
    <n v="10"/>
    <s v="Cash"/>
    <n v="5.8"/>
    <n v="64.13"/>
    <n v="12.826000000000001"/>
    <s v="Adeleke"/>
    <x v="10"/>
    <s v="NY"/>
  </r>
  <r>
    <d v="2024-01-15T00:00:00"/>
    <s v="Brooklyn"/>
    <s v="Member"/>
    <s v="Male"/>
    <s v="Health &amp; Beauty"/>
    <n v="66.47"/>
    <n v="120"/>
    <n v="10"/>
    <s v="Credit card"/>
    <n v="5"/>
    <n v="53.53"/>
    <n v="10.706000000000001"/>
    <s v="Adeleke"/>
    <x v="11"/>
    <s v="MN"/>
  </r>
  <r>
    <d v="2024-01-15T00:00:00"/>
    <s v="Brooklyn"/>
    <s v="Member"/>
    <s v="Female"/>
    <s v="Sports &amp; Travel"/>
    <n v="93.72"/>
    <n v="120"/>
    <n v="6"/>
    <s v="Cash"/>
    <n v="4.5"/>
    <n v="26.28"/>
    <n v="5.2560000000000002"/>
    <s v="Omoloye"/>
    <x v="12"/>
    <s v="MA"/>
  </r>
  <r>
    <d v="2024-01-15T00:00:00"/>
    <s v="Manhattan"/>
    <s v="Normal"/>
    <s v="Female"/>
    <s v="Home &amp; Lifestyle"/>
    <n v="11.43"/>
    <n v="120"/>
    <n v="6"/>
    <s v="Cash"/>
    <n v="7.7"/>
    <n v="108.57"/>
    <n v="21.713999999999999"/>
    <s v="Pearson"/>
    <x v="13"/>
    <s v="PA"/>
  </r>
  <r>
    <d v="2024-01-15T00:00:00"/>
    <s v="Brooklyn"/>
    <s v="Normal"/>
    <s v="Female"/>
    <s v="Fashion &amp; Accs"/>
    <n v="73.52"/>
    <n v="120"/>
    <n v="2"/>
    <s v="Ewallet"/>
    <n v="4.5999999999999996"/>
    <n v="46.480000000000004"/>
    <n v="9.2960000000000012"/>
    <s v="Orenze"/>
    <x v="14"/>
    <s v="MI"/>
  </r>
  <r>
    <d v="2024-01-15T00:00:00"/>
    <s v="Queens"/>
    <s v="Member"/>
    <s v="Male"/>
    <s v="Health &amp; Beauty"/>
    <n v="81.23"/>
    <n v="120"/>
    <n v="7"/>
    <s v="Cash"/>
    <n v="9"/>
    <n v="38.769999999999996"/>
    <n v="7.7539999999999996"/>
    <s v="Amodu"/>
    <x v="15"/>
    <s v="KY"/>
  </r>
  <r>
    <d v="2024-01-15T00:00:00"/>
    <s v="Queens"/>
    <s v="Member"/>
    <s v="Male"/>
    <s v="Food &amp; Beverages"/>
    <n v="17.440000000000001"/>
    <n v="120"/>
    <n v="5"/>
    <s v="Cash"/>
    <n v="8.1"/>
    <n v="102.56"/>
    <n v="20.512"/>
    <s v="Olunloyo"/>
    <x v="14"/>
    <s v="NM"/>
  </r>
  <r>
    <d v="2024-01-15T00:00:00"/>
    <s v="Manhattan"/>
    <s v="Normal"/>
    <s v="Female"/>
    <s v="Electronics"/>
    <n v="60.88"/>
    <n v="120"/>
    <n v="9"/>
    <s v="Ewallet"/>
    <n v="4.7"/>
    <n v="59.12"/>
    <n v="11.824"/>
    <s v="Ariwodo"/>
    <x v="0"/>
    <s v="CA"/>
  </r>
  <r>
    <d v="2024-01-16T00:00:00"/>
    <s v="Queens"/>
    <s v="Normal"/>
    <s v="Male"/>
    <s v="Home &amp; Lifestyle"/>
    <n v="95.58"/>
    <n v="120"/>
    <n v="10"/>
    <s v="Cash"/>
    <n v="4.8"/>
    <n v="24.42"/>
    <n v="4.8840000000000003"/>
    <s v="Micheal"/>
    <x v="1"/>
    <s v="NZ"/>
  </r>
  <r>
    <d v="2024-01-16T00:00:00"/>
    <s v="Brooklyn"/>
    <s v="Member"/>
    <s v="Female"/>
    <s v="Sports &amp; Travel"/>
    <n v="90.74"/>
    <n v="120"/>
    <n v="7"/>
    <s v="Credit card"/>
    <n v="6.2"/>
    <n v="29.260000000000005"/>
    <n v="5.8520000000000012"/>
    <s v="Olawuyi"/>
    <x v="2"/>
    <s v="AZ"/>
  </r>
  <r>
    <d v="2024-01-16T00:00:00"/>
    <s v="Queens"/>
    <s v="Normal"/>
    <s v="Female"/>
    <s v="Food &amp; Beverages"/>
    <n v="93.26"/>
    <n v="120"/>
    <n v="9"/>
    <s v="Cash"/>
    <n v="8.8000000000000007"/>
    <n v="26.739999999999995"/>
    <n v="5.347999999999999"/>
    <s v="Arimoro"/>
    <x v="3"/>
    <s v="AZ"/>
  </r>
  <r>
    <d v="2024-01-16T00:00:00"/>
    <s v="Queens"/>
    <s v="Member"/>
    <s v="Male"/>
    <s v="Sports &amp; Travel"/>
    <n v="17.14"/>
    <n v="120"/>
    <n v="7"/>
    <s v="Credit card"/>
    <n v="7.9"/>
    <n v="102.86"/>
    <n v="20.572000000000003"/>
    <s v="Zouma"/>
    <x v="4"/>
    <s v="AZ"/>
  </r>
  <r>
    <d v="2024-01-16T00:00:00"/>
    <s v="Brooklyn"/>
    <s v="Normal"/>
    <s v="Male"/>
    <s v="Fashion &amp; Accs"/>
    <n v="39.21"/>
    <n v="120"/>
    <n v="4"/>
    <s v="Credit card"/>
    <n v="9"/>
    <n v="80.789999999999992"/>
    <n v="16.157999999999998"/>
    <s v="Ayeni"/>
    <x v="5"/>
    <s v="NM"/>
  </r>
  <r>
    <d v="2024-01-16T00:00:00"/>
    <s v="Manhattan"/>
    <s v="Member"/>
    <s v="Male"/>
    <s v="Home &amp; Lifestyle"/>
    <n v="63.56"/>
    <n v="120"/>
    <n v="10"/>
    <s v="Cash"/>
    <n v="4.3"/>
    <n v="56.44"/>
    <n v="11.288"/>
    <s v="Comfort"/>
    <x v="6"/>
    <s v="NM"/>
  </r>
  <r>
    <d v="2024-01-16T00:00:00"/>
    <s v="Queens"/>
    <s v="Member"/>
    <s v="Female"/>
    <s v="Sports &amp; Travel"/>
    <n v="15.49"/>
    <n v="120"/>
    <n v="2"/>
    <s v="Cash"/>
    <n v="6.3"/>
    <n v="104.51"/>
    <n v="20.902000000000001"/>
    <s v="Joe"/>
    <x v="7"/>
    <s v="AZ"/>
  </r>
  <r>
    <d v="2024-01-16T00:00:00"/>
    <s v="Brooklyn"/>
    <s v="Member"/>
    <s v="Male"/>
    <s v="Fashion &amp; Accs"/>
    <n v="51.36"/>
    <n v="120"/>
    <n v="1"/>
    <s v="Ewallet"/>
    <n v="5.2"/>
    <n v="68.64"/>
    <n v="13.728000000000002"/>
    <s v="Ope"/>
    <x v="8"/>
    <s v="CA"/>
  </r>
  <r>
    <d v="2024-01-16T00:00:00"/>
    <s v="Manhattan"/>
    <s v="Normal"/>
    <s v="Female"/>
    <s v="Sports &amp; Travel"/>
    <n v="93.18"/>
    <n v="120"/>
    <n v="2"/>
    <s v="Credit card"/>
    <n v="8.5"/>
    <n v="26.819999999999993"/>
    <n v="5.363999999999999"/>
    <s v="Ohio"/>
    <x v="9"/>
    <s v="CO"/>
  </r>
  <r>
    <d v="2024-01-16T00:00:00"/>
    <s v="Queens"/>
    <s v="Normal"/>
    <s v="Female"/>
    <s v="Food &amp; Beverages"/>
    <n v="52.6"/>
    <n v="120"/>
    <n v="9"/>
    <s v="Cash"/>
    <n v="7.6"/>
    <n v="67.400000000000006"/>
    <n v="13.480000000000002"/>
    <s v="Adeleke"/>
    <x v="10"/>
    <s v="AZ"/>
  </r>
  <r>
    <d v="2024-01-17T00:00:00"/>
    <s v="Brooklyn"/>
    <s v="Normal"/>
    <s v="Female"/>
    <s v="Sports &amp; Travel"/>
    <n v="40.619999999999997"/>
    <n v="120"/>
    <n v="2"/>
    <s v="Credit card"/>
    <n v="4.0999999999999996"/>
    <n v="79.38"/>
    <n v="15.875999999999999"/>
    <s v="Adeleke"/>
    <x v="11"/>
    <s v="CO"/>
  </r>
  <r>
    <d v="2024-01-17T00:00:00"/>
    <s v="Manhattan"/>
    <s v="Normal"/>
    <s v="Female"/>
    <s v="Food &amp; Beverages"/>
    <n v="81.209999999999994"/>
    <n v="120"/>
    <n v="10"/>
    <s v="Credit card"/>
    <n v="6.3"/>
    <n v="38.790000000000006"/>
    <n v="7.7580000000000018"/>
    <s v="Omoloye"/>
    <x v="12"/>
    <s v="NY"/>
  </r>
  <r>
    <d v="2024-01-17T00:00:00"/>
    <s v="Brooklyn"/>
    <s v="Member"/>
    <s v="Male"/>
    <s v="Food &amp; Beverages"/>
    <n v="57.89"/>
    <n v="120"/>
    <n v="2"/>
    <s v="Ewallet"/>
    <n v="8.9"/>
    <n v="62.11"/>
    <n v="12.422000000000001"/>
    <s v="Pearson"/>
    <x v="13"/>
    <s v="MN"/>
  </r>
  <r>
    <d v="2024-01-17T00:00:00"/>
    <s v="Manhattan"/>
    <s v="Normal"/>
    <s v="Male"/>
    <s v="Home &amp; Lifestyle"/>
    <n v="21.52"/>
    <n v="120"/>
    <n v="6"/>
    <s v="Credit card"/>
    <n v="9.4"/>
    <n v="98.48"/>
    <n v="19.696000000000002"/>
    <s v="Orenze"/>
    <x v="14"/>
    <s v="MA"/>
  </r>
  <r>
    <d v="2024-01-17T00:00:00"/>
    <s v="Brooklyn"/>
    <s v="Member"/>
    <s v="Female"/>
    <s v="Home &amp; Lifestyle"/>
    <n v="94.59"/>
    <n v="120"/>
    <n v="7"/>
    <s v="Credit card"/>
    <n v="4.9000000000000004"/>
    <n v="25.409999999999997"/>
    <n v="5.0819999999999999"/>
    <s v="Amodu"/>
    <x v="15"/>
    <s v="PA"/>
  </r>
  <r>
    <d v="2024-01-17T00:00:00"/>
    <s v="Queens"/>
    <s v="Member"/>
    <s v="Female"/>
    <s v="Health &amp; Beauty"/>
    <n v="62.82"/>
    <n v="120"/>
    <n v="2"/>
    <s v="Ewallet"/>
    <n v="4.9000000000000004"/>
    <n v="57.18"/>
    <n v="11.436"/>
    <s v="Olunloyo"/>
    <x v="14"/>
    <s v="MI"/>
  </r>
  <r>
    <d v="2024-01-17T00:00:00"/>
    <s v="Queens"/>
    <s v="Member"/>
    <s v="Male"/>
    <s v="Food &amp; Beverages"/>
    <n v="65.650000000000006"/>
    <n v="120"/>
    <n v="2"/>
    <s v="Cash"/>
    <n v="6"/>
    <n v="54.349999999999994"/>
    <n v="10.87"/>
    <s v="Ariwodo"/>
    <x v="0"/>
    <s v="KY"/>
  </r>
  <r>
    <d v="2024-01-17T00:00:00"/>
    <s v="Queens"/>
    <s v="Member"/>
    <s v="Male"/>
    <s v="Sports &amp; Travel"/>
    <n v="71.92"/>
    <n v="120"/>
    <n v="5"/>
    <s v="Credit card"/>
    <n v="4.3"/>
    <n v="48.08"/>
    <n v="9.6159999999999997"/>
    <s v="Micheal"/>
    <x v="1"/>
    <s v="NM"/>
  </r>
  <r>
    <d v="2024-01-17T00:00:00"/>
    <s v="Manhattan"/>
    <s v="Normal"/>
    <s v="Male"/>
    <s v="Sports &amp; Travel"/>
    <n v="25.7"/>
    <n v="120"/>
    <n v="3"/>
    <s v="Ewallet"/>
    <n v="6.1"/>
    <n v="94.3"/>
    <n v="18.86"/>
    <s v="Olawuyi"/>
    <x v="2"/>
    <s v="CA"/>
  </r>
  <r>
    <d v="2024-01-17T00:00:00"/>
    <s v="Brooklyn"/>
    <s v="Member"/>
    <s v="Female"/>
    <s v="Home &amp; Lifestyle"/>
    <n v="86.72"/>
    <n v="120"/>
    <n v="1"/>
    <s v="Ewallet"/>
    <n v="7.9"/>
    <n v="33.28"/>
    <n v="6.6560000000000006"/>
    <s v="Arimoro"/>
    <x v="3"/>
    <s v="NZ"/>
  </r>
  <r>
    <d v="2024-01-17T00:00:00"/>
    <s v="Manhattan"/>
    <s v="Normal"/>
    <s v="Male"/>
    <s v="Sports &amp; Travel"/>
    <n v="58.91"/>
    <n v="120"/>
    <n v="7"/>
    <s v="Ewallet"/>
    <n v="9.6999999999999993"/>
    <n v="61.09"/>
    <n v="12.218000000000002"/>
    <s v="Zouma"/>
    <x v="4"/>
    <s v="AZ"/>
  </r>
  <r>
    <d v="2024-01-18T00:00:00"/>
    <s v="Manhattan"/>
    <s v="Member"/>
    <s v="Female"/>
    <s v="Fashion &amp; Accs"/>
    <n v="88.15"/>
    <n v="120"/>
    <n v="3"/>
    <s v="Ewallet"/>
    <n v="7.9"/>
    <n v="31.849999999999994"/>
    <n v="6.3699999999999992"/>
    <s v="Ayeni"/>
    <x v="5"/>
    <s v="AZ"/>
  </r>
  <r>
    <d v="2024-01-18T00:00:00"/>
    <s v="Queens"/>
    <s v="Normal"/>
    <s v="Female"/>
    <s v="Health &amp; Beauty"/>
    <n v="39.42"/>
    <n v="120"/>
    <n v="1"/>
    <s v="Cash"/>
    <n v="8.4"/>
    <n v="80.58"/>
    <n v="16.116"/>
    <s v="Comfort"/>
    <x v="6"/>
    <s v="AZ"/>
  </r>
  <r>
    <d v="2024-01-18T00:00:00"/>
    <s v="Manhattan"/>
    <s v="Normal"/>
    <s v="Female"/>
    <s v="Electronics"/>
    <n v="26.31"/>
    <n v="120"/>
    <n v="5"/>
    <s v="Credit card"/>
    <n v="8.8000000000000007"/>
    <n v="93.69"/>
    <n v="18.738"/>
    <s v="Joe"/>
    <x v="7"/>
    <s v="NM"/>
  </r>
  <r>
    <d v="2024-01-18T00:00:00"/>
    <s v="Queens"/>
    <s v="Normal"/>
    <s v="Male"/>
    <s v="Fashion &amp; Accs"/>
    <n v="60.74"/>
    <n v="120"/>
    <n v="7"/>
    <s v="Ewallet"/>
    <n v="5"/>
    <n v="59.26"/>
    <n v="11.852"/>
    <s v="Ope"/>
    <x v="8"/>
    <s v="NM"/>
  </r>
  <r>
    <d v="2024-01-18T00:00:00"/>
    <s v="Brooklyn"/>
    <s v="Normal"/>
    <s v="Male"/>
    <s v="Food &amp; Beverages"/>
    <n v="19.79"/>
    <n v="120"/>
    <n v="8"/>
    <s v="Ewallet"/>
    <n v="8.6999999999999993"/>
    <n v="100.21000000000001"/>
    <n v="20.042000000000002"/>
    <s v="Ohio"/>
    <x v="9"/>
    <s v="AZ"/>
  </r>
  <r>
    <d v="2024-01-18T00:00:00"/>
    <s v="Manhattan"/>
    <s v="Member"/>
    <s v="Male"/>
    <s v="Home &amp; Lifestyle"/>
    <n v="19.36"/>
    <n v="120"/>
    <n v="9"/>
    <s v="Ewallet"/>
    <n v="8.6999999999999993"/>
    <n v="100.64"/>
    <n v="20.128"/>
    <s v="Adeleke"/>
    <x v="10"/>
    <s v="CA"/>
  </r>
  <r>
    <d v="2024-01-18T00:00:00"/>
    <s v="Manhattan"/>
    <s v="Member"/>
    <s v="Male"/>
    <s v="Sports &amp; Travel"/>
    <n v="89.06"/>
    <n v="120"/>
    <n v="6"/>
    <s v="Cash"/>
    <n v="9.9"/>
    <n v="30.939999999999998"/>
    <n v="6.1879999999999997"/>
    <s v="Adeleke"/>
    <x v="11"/>
    <s v="CO"/>
  </r>
  <r>
    <d v="2024-01-18T00:00:00"/>
    <s v="Queens"/>
    <s v="Member"/>
    <s v="Female"/>
    <s v="Sports &amp; Travel"/>
    <n v="90.63"/>
    <n v="120"/>
    <n v="9"/>
    <s v="Cash"/>
    <n v="5.0999999999999996"/>
    <n v="29.370000000000005"/>
    <n v="5.8740000000000014"/>
    <s v="Omoloye"/>
    <x v="12"/>
    <s v="AZ"/>
  </r>
  <r>
    <d v="2024-01-18T00:00:00"/>
    <s v="Brooklyn"/>
    <s v="Member"/>
    <s v="Female"/>
    <s v="Fashion &amp; Accs"/>
    <n v="17.48"/>
    <n v="120"/>
    <n v="6"/>
    <s v="Credit card"/>
    <n v="6.1"/>
    <n v="102.52"/>
    <n v="20.504000000000001"/>
    <s v="Pearson"/>
    <x v="13"/>
    <s v="CO"/>
  </r>
  <r>
    <d v="2024-01-19T00:00:00"/>
    <s v="Brooklyn"/>
    <s v="Member"/>
    <s v="Female"/>
    <s v="Electronics"/>
    <n v="12.1"/>
    <n v="120"/>
    <n v="8"/>
    <s v="Ewallet"/>
    <n v="8.6"/>
    <n v="107.9"/>
    <n v="21.580000000000002"/>
    <s v="Orenze"/>
    <x v="14"/>
    <s v="NY"/>
  </r>
  <r>
    <d v="2024-01-19T00:00:00"/>
    <s v="Queens"/>
    <s v="Member"/>
    <s v="Male"/>
    <s v="Sports &amp; Travel"/>
    <n v="80.930000000000007"/>
    <n v="120"/>
    <n v="1"/>
    <s v="Credit card"/>
    <n v="9"/>
    <n v="39.069999999999993"/>
    <n v="7.8139999999999992"/>
    <s v="Amodu"/>
    <x v="15"/>
    <s v="MN"/>
  </r>
  <r>
    <d v="2024-01-19T00:00:00"/>
    <s v="Manhattan"/>
    <s v="Normal"/>
    <s v="Female"/>
    <s v="Fashion &amp; Accs"/>
    <n v="99.1"/>
    <n v="120"/>
    <n v="6"/>
    <s v="Cash"/>
    <n v="4.2"/>
    <n v="20.900000000000006"/>
    <n v="4.1800000000000015"/>
    <s v="Olunloyo"/>
    <x v="14"/>
    <s v="MA"/>
  </r>
  <r>
    <d v="2024-01-19T00:00:00"/>
    <s v="Brooklyn"/>
    <s v="Normal"/>
    <s v="Male"/>
    <s v="Sports &amp; Travel"/>
    <n v="63.06"/>
    <n v="120"/>
    <n v="3"/>
    <s v="Ewallet"/>
    <n v="7"/>
    <n v="56.94"/>
    <n v="11.388"/>
    <s v="Ariwodo"/>
    <x v="0"/>
    <s v="PA"/>
  </r>
  <r>
    <d v="2024-01-19T00:00:00"/>
    <s v="Manhattan"/>
    <s v="Normal"/>
    <s v="Male"/>
    <s v="Sports &amp; Travel"/>
    <n v="64.19"/>
    <n v="120"/>
    <n v="10"/>
    <s v="Credit card"/>
    <n v="6.7"/>
    <n v="55.81"/>
    <n v="11.162000000000001"/>
    <s v="Micheal"/>
    <x v="1"/>
    <s v="MI"/>
  </r>
  <r>
    <d v="2024-01-19T00:00:00"/>
    <s v="Manhattan"/>
    <s v="Normal"/>
    <s v="Female"/>
    <s v="Home &amp; Lifestyle"/>
    <n v="45.68"/>
    <n v="120"/>
    <n v="10"/>
    <s v="Ewallet"/>
    <n v="5.7"/>
    <n v="74.319999999999993"/>
    <n v="14.863999999999999"/>
    <s v="Olawuyi"/>
    <x v="2"/>
    <s v="KY"/>
  </r>
  <r>
    <d v="2024-01-19T00:00:00"/>
    <s v="Queens"/>
    <s v="Member"/>
    <s v="Male"/>
    <s v="Food &amp; Beverages"/>
    <n v="59.59"/>
    <n v="120"/>
    <n v="4"/>
    <s v="Cash"/>
    <n v="9.8000000000000007"/>
    <n v="60.41"/>
    <n v="12.082000000000001"/>
    <s v="Arimoro"/>
    <x v="3"/>
    <s v="NM"/>
  </r>
  <r>
    <d v="2024-01-19T00:00:00"/>
    <s v="Manhattan"/>
    <s v="Member"/>
    <s v="Male"/>
    <s v="Electronics"/>
    <n v="11.94"/>
    <n v="120"/>
    <n v="3"/>
    <s v="Credit card"/>
    <n v="8.1"/>
    <n v="108.06"/>
    <n v="21.612000000000002"/>
    <s v="Zouma"/>
    <x v="4"/>
    <s v="CA"/>
  </r>
  <r>
    <d v="2024-01-19T00:00:00"/>
    <s v="Queens"/>
    <s v="Normal"/>
    <s v="Female"/>
    <s v="Electronics"/>
    <n v="56.13"/>
    <n v="120"/>
    <n v="4"/>
    <s v="Ewallet"/>
    <n v="8.6"/>
    <n v="63.87"/>
    <n v="12.774000000000001"/>
    <s v="Ayeni"/>
    <x v="5"/>
    <s v="NZ"/>
  </r>
  <r>
    <d v="2024-01-19T00:00:00"/>
    <s v="Queens"/>
    <s v="Normal"/>
    <s v="Female"/>
    <s v="Food &amp; Beverages"/>
    <n v="43.18"/>
    <n v="120"/>
    <n v="8"/>
    <s v="Credit card"/>
    <n v="8.3000000000000007"/>
    <n v="76.819999999999993"/>
    <n v="15.363999999999999"/>
    <s v="Comfort"/>
    <x v="6"/>
    <s v="AZ"/>
  </r>
  <r>
    <d v="2024-01-19T00:00:00"/>
    <s v="Brooklyn"/>
    <s v="Member"/>
    <s v="Male"/>
    <s v="Electronics"/>
    <n v="52.89"/>
    <n v="120"/>
    <n v="6"/>
    <s v="Credit card"/>
    <n v="9.8000000000000007"/>
    <n v="67.11"/>
    <n v="13.422000000000001"/>
    <s v="Joe"/>
    <x v="7"/>
    <s v="AZ"/>
  </r>
  <r>
    <d v="2024-01-19T00:00:00"/>
    <s v="Manhattan"/>
    <s v="Normal"/>
    <s v="Male"/>
    <s v="Food &amp; Beverages"/>
    <n v="33.880000000000003"/>
    <n v="120"/>
    <n v="8"/>
    <s v="Ewallet"/>
    <n v="9.6"/>
    <n v="86.12"/>
    <n v="17.224"/>
    <s v="Ope"/>
    <x v="8"/>
    <s v="AZ"/>
  </r>
  <r>
    <d v="2024-01-19T00:00:00"/>
    <s v="Manhattan"/>
    <s v="Member"/>
    <s v="Male"/>
    <s v="Sports &amp; Travel"/>
    <n v="67.260000000000005"/>
    <n v="120"/>
    <n v="4"/>
    <s v="Credit card"/>
    <n v="8"/>
    <n v="52.739999999999995"/>
    <n v="10.548"/>
    <s v="Ohio"/>
    <x v="9"/>
    <s v="NM"/>
  </r>
  <r>
    <d v="2024-01-19T00:00:00"/>
    <s v="Queens"/>
    <s v="Member"/>
    <s v="Female"/>
    <s v="Home &amp; Lifestyle"/>
    <n v="88.61"/>
    <n v="120"/>
    <n v="1"/>
    <s v="Cash"/>
    <n v="7.7"/>
    <n v="31.39"/>
    <n v="6.2780000000000005"/>
    <s v="Adeleke"/>
    <x v="10"/>
    <s v="NM"/>
  </r>
  <r>
    <d v="2024-01-19T00:00:00"/>
    <s v="Manhattan"/>
    <s v="Member"/>
    <s v="Male"/>
    <s v="Home &amp; Lifestyle"/>
    <n v="58.07"/>
    <n v="120"/>
    <n v="9"/>
    <s v="Ewallet"/>
    <n v="4.3"/>
    <n v="61.93"/>
    <n v="12.386000000000001"/>
    <s v="Adeleke"/>
    <x v="11"/>
    <s v="AZ"/>
  </r>
  <r>
    <d v="2024-01-19T00:00:00"/>
    <s v="Manhattan"/>
    <s v="Normal"/>
    <s v="Male"/>
    <s v="Food &amp; Beverages"/>
    <n v="51.28"/>
    <n v="120"/>
    <n v="6"/>
    <s v="Cash"/>
    <n v="6.5"/>
    <n v="68.72"/>
    <n v="13.744"/>
    <s v="Omoloye"/>
    <x v="12"/>
    <s v="CA"/>
  </r>
  <r>
    <d v="2024-01-20T00:00:00"/>
    <s v="Queens"/>
    <s v="Member"/>
    <s v="Male"/>
    <s v="Sports &amp; Travel"/>
    <n v="82.93"/>
    <n v="120"/>
    <n v="4"/>
    <s v="Ewallet"/>
    <n v="9.6"/>
    <n v="37.069999999999993"/>
    <n v="7.4139999999999988"/>
    <s v="Pearson"/>
    <x v="13"/>
    <s v="CO"/>
  </r>
  <r>
    <d v="2024-01-20T00:00:00"/>
    <s v="Manhattan"/>
    <s v="Member"/>
    <s v="Male"/>
    <s v="Health &amp; Beauty"/>
    <n v="55.5"/>
    <n v="120"/>
    <n v="4"/>
    <s v="Credit card"/>
    <n v="6.6"/>
    <n v="64.5"/>
    <n v="12.9"/>
    <s v="Orenze"/>
    <x v="14"/>
    <s v="AZ"/>
  </r>
  <r>
    <d v="2024-01-20T00:00:00"/>
    <s v="Manhattan"/>
    <s v="Normal"/>
    <s v="Female"/>
    <s v="Sports &amp; Travel"/>
    <n v="93.14"/>
    <n v="120"/>
    <n v="2"/>
    <s v="Ewallet"/>
    <n v="4.0999999999999996"/>
    <n v="26.86"/>
    <n v="5.3719999999999999"/>
    <s v="Amodu"/>
    <x v="15"/>
    <s v="CO"/>
  </r>
  <r>
    <d v="2024-01-20T00:00:00"/>
    <s v="Brooklyn"/>
    <s v="Normal"/>
    <s v="Male"/>
    <s v="Home &amp; Lifestyle"/>
    <n v="53.44"/>
    <n v="120"/>
    <n v="2"/>
    <s v="Ewallet"/>
    <n v="4.0999999999999996"/>
    <n v="66.56"/>
    <n v="13.312000000000001"/>
    <s v="Olunloyo"/>
    <x v="14"/>
    <s v="NY"/>
  </r>
  <r>
    <d v="2024-01-20T00:00:00"/>
    <s v="Brooklyn"/>
    <s v="Normal"/>
    <s v="Male"/>
    <s v="Home &amp; Lifestyle"/>
    <n v="37.479999999999997"/>
    <n v="120"/>
    <n v="3"/>
    <s v="Credit card"/>
    <n v="7.7"/>
    <n v="82.52000000000001"/>
    <n v="16.504000000000001"/>
    <s v="Ariwodo"/>
    <x v="0"/>
    <s v="MN"/>
  </r>
  <r>
    <d v="2024-01-20T00:00:00"/>
    <s v="Queens"/>
    <s v="Normal"/>
    <s v="Male"/>
    <s v="Fashion &amp; Accs"/>
    <n v="15.62"/>
    <n v="120"/>
    <n v="8"/>
    <s v="Ewallet"/>
    <n v="9.1"/>
    <n v="104.38"/>
    <n v="20.876000000000001"/>
    <s v="Micheal"/>
    <x v="1"/>
    <s v="MA"/>
  </r>
  <r>
    <d v="2024-01-20T00:00:00"/>
    <s v="Manhattan"/>
    <s v="Member"/>
    <s v="Female"/>
    <s v="Home &amp; Lifestyle"/>
    <n v="72.349999999999994"/>
    <n v="120"/>
    <n v="10"/>
    <s v="Cash"/>
    <n v="5.4"/>
    <n v="47.650000000000006"/>
    <n v="9.5300000000000011"/>
    <s v="Olawuyi"/>
    <x v="2"/>
    <s v="PA"/>
  </r>
  <r>
    <d v="2024-01-20T00:00:00"/>
    <s v="Queens"/>
    <s v="Normal"/>
    <s v="Male"/>
    <s v="Health &amp; Beauty"/>
    <n v="64.08"/>
    <n v="120"/>
    <n v="7"/>
    <s v="Ewallet"/>
    <n v="7.6"/>
    <n v="55.92"/>
    <n v="11.184000000000001"/>
    <s v="Arimoro"/>
    <x v="3"/>
    <s v="MI"/>
  </r>
  <r>
    <d v="2024-01-20T00:00:00"/>
    <s v="Manhattan"/>
    <s v="Member"/>
    <s v="Female"/>
    <s v="Fashion &amp; Accs"/>
    <n v="63.88"/>
    <n v="120"/>
    <n v="8"/>
    <s v="Ewallet"/>
    <n v="9.9"/>
    <n v="56.12"/>
    <n v="11.224"/>
    <s v="Zouma"/>
    <x v="4"/>
    <s v="KY"/>
  </r>
  <r>
    <d v="2024-01-20T00:00:00"/>
    <s v="Queens"/>
    <s v="Member"/>
    <s v="Female"/>
    <s v="Home &amp; Lifestyle"/>
    <n v="89.25"/>
    <n v="120"/>
    <n v="8"/>
    <s v="Cash"/>
    <n v="4.7"/>
    <n v="30.75"/>
    <n v="6.15"/>
    <s v="Ayeni"/>
    <x v="5"/>
    <s v="NM"/>
  </r>
  <r>
    <d v="2024-01-21T00:00:00"/>
    <s v="Manhattan"/>
    <s v="Normal"/>
    <s v="Male"/>
    <s v="Home &amp; Lifestyle"/>
    <n v="73.22"/>
    <n v="120"/>
    <n v="6"/>
    <s v="Cash"/>
    <n v="7.2"/>
    <n v="46.78"/>
    <n v="9.3559999999999999"/>
    <s v="Comfort"/>
    <x v="6"/>
    <s v="CA"/>
  </r>
  <r>
    <d v="2024-01-21T00:00:00"/>
    <s v="Queens"/>
    <s v="Normal"/>
    <s v="Female"/>
    <s v="Health &amp; Beauty"/>
    <n v="99.19"/>
    <n v="120"/>
    <n v="6"/>
    <s v="Credit card"/>
    <n v="5.5"/>
    <n v="20.810000000000002"/>
    <n v="4.1620000000000008"/>
    <s v="Joe"/>
    <x v="7"/>
    <s v="NZ"/>
  </r>
  <r>
    <d v="2024-01-21T00:00:00"/>
    <s v="Manhattan"/>
    <s v="Member"/>
    <s v="Male"/>
    <s v="Health &amp; Beauty"/>
    <n v="53.17"/>
    <n v="120"/>
    <n v="7"/>
    <s v="Cash"/>
    <n v="8.9"/>
    <n v="66.83"/>
    <n v="13.366"/>
    <s v="Ope"/>
    <x v="8"/>
    <s v="AZ"/>
  </r>
  <r>
    <d v="2024-01-21T00:00:00"/>
    <s v="Brooklyn"/>
    <s v="Member"/>
    <s v="Female"/>
    <s v="Sports &amp; Travel"/>
    <n v="98.13"/>
    <n v="120"/>
    <n v="1"/>
    <s v="Cash"/>
    <n v="8.9"/>
    <n v="21.870000000000005"/>
    <n v="4.3740000000000014"/>
    <s v="Ohio"/>
    <x v="9"/>
    <s v="AZ"/>
  </r>
  <r>
    <d v="2024-01-21T00:00:00"/>
    <s v="Manhattan"/>
    <s v="Member"/>
    <s v="Female"/>
    <s v="Food &amp; Beverages"/>
    <n v="36.36"/>
    <n v="120"/>
    <n v="2"/>
    <s v="Cash"/>
    <n v="7.1"/>
    <n v="83.64"/>
    <n v="16.728000000000002"/>
    <s v="Adeleke"/>
    <x v="10"/>
    <s v="AZ"/>
  </r>
  <r>
    <d v="2024-01-21T00:00:00"/>
    <s v="Manhattan"/>
    <s v="Normal"/>
    <s v="Female"/>
    <s v="Home &amp; Lifestyle"/>
    <n v="77.95"/>
    <n v="120"/>
    <n v="6"/>
    <s v="Ewallet"/>
    <n v="8"/>
    <n v="42.05"/>
    <n v="8.41"/>
    <s v="Adeleke"/>
    <x v="11"/>
    <s v="NM"/>
  </r>
  <r>
    <d v="2024-01-21T00:00:00"/>
    <s v="Queens"/>
    <s v="Member"/>
    <s v="Male"/>
    <s v="Food &amp; Beverages"/>
    <n v="68.98"/>
    <n v="120"/>
    <n v="1"/>
    <s v="Cash"/>
    <n v="4.8"/>
    <n v="51.019999999999996"/>
    <n v="10.204000000000001"/>
    <s v="Omoloye"/>
    <x v="12"/>
    <s v="NM"/>
  </r>
  <r>
    <d v="2024-01-21T00:00:00"/>
    <s v="Manhattan"/>
    <s v="Normal"/>
    <s v="Male"/>
    <s v="Food &amp; Beverages"/>
    <n v="54.67"/>
    <n v="120"/>
    <n v="3"/>
    <s v="Credit card"/>
    <n v="8.6"/>
    <n v="65.33"/>
    <n v="13.066000000000001"/>
    <s v="Pearson"/>
    <x v="13"/>
    <s v="AZ"/>
  </r>
  <r>
    <d v="2024-01-22T00:00:00"/>
    <s v="Queens"/>
    <s v="Normal"/>
    <s v="Female"/>
    <s v="Health &amp; Beauty"/>
    <n v="20.38"/>
    <n v="120"/>
    <n v="5"/>
    <s v="Cash"/>
    <n v="6"/>
    <n v="99.62"/>
    <n v="19.924000000000003"/>
    <s v="Orenze"/>
    <x v="14"/>
    <s v="CA"/>
  </r>
  <r>
    <d v="2024-01-22T00:00:00"/>
    <s v="Queens"/>
    <s v="Member"/>
    <s v="Female"/>
    <s v="Health &amp; Beauty"/>
    <n v="81.510000000000005"/>
    <n v="120"/>
    <n v="1"/>
    <s v="Ewallet"/>
    <n v="9.1999999999999993"/>
    <n v="38.489999999999995"/>
    <n v="7.6979999999999995"/>
    <s v="Amodu"/>
    <x v="15"/>
    <s v="CO"/>
  </r>
  <r>
    <d v="2024-01-22T00:00:00"/>
    <s v="Queens"/>
    <s v="Member"/>
    <s v="Male"/>
    <s v="Home &amp; Lifestyle"/>
    <n v="39.39"/>
    <n v="120"/>
    <n v="5"/>
    <s v="Credit card"/>
    <n v="8.6999999999999993"/>
    <n v="80.61"/>
    <n v="16.122"/>
    <s v="Olunloyo"/>
    <x v="14"/>
    <s v="AZ"/>
  </r>
  <r>
    <d v="2024-01-22T00:00:00"/>
    <s v="Brooklyn"/>
    <s v="Normal"/>
    <s v="Female"/>
    <s v="Food &amp; Beverages"/>
    <n v="28.86"/>
    <n v="120"/>
    <n v="5"/>
    <s v="Credit card"/>
    <n v="8"/>
    <n v="91.14"/>
    <n v="18.228000000000002"/>
    <s v="Ariwodo"/>
    <x v="0"/>
    <s v="CO"/>
  </r>
  <r>
    <d v="2024-01-22T00:00:00"/>
    <s v="Manhattan"/>
    <s v="Normal"/>
    <s v="Male"/>
    <s v="Home &amp; Lifestyle"/>
    <n v="30.68"/>
    <n v="120"/>
    <n v="3"/>
    <s v="Ewallet"/>
    <n v="9.1"/>
    <n v="89.32"/>
    <n v="17.864000000000001"/>
    <s v="Micheal"/>
    <x v="1"/>
    <s v="NY"/>
  </r>
  <r>
    <d v="2024-01-22T00:00:00"/>
    <s v="Brooklyn"/>
    <s v="Normal"/>
    <s v="Female"/>
    <s v="Health &amp; Beauty"/>
    <n v="55.81"/>
    <n v="120"/>
    <n v="6"/>
    <s v="Cash"/>
    <n v="9.9"/>
    <n v="64.19"/>
    <n v="12.838000000000001"/>
    <s v="Olawuyi"/>
    <x v="2"/>
    <s v="MN"/>
  </r>
  <r>
    <d v="2024-01-22T00:00:00"/>
    <s v="Manhattan"/>
    <s v="Normal"/>
    <s v="Male"/>
    <s v="Home &amp; Lifestyle"/>
    <n v="74.67"/>
    <n v="120"/>
    <n v="9"/>
    <s v="Ewallet"/>
    <n v="9.4"/>
    <n v="45.33"/>
    <n v="9.0660000000000007"/>
    <s v="Arimoro"/>
    <x v="3"/>
    <s v="MA"/>
  </r>
  <r>
    <d v="2024-01-23T00:00:00"/>
    <s v="Manhattan"/>
    <s v="Member"/>
    <s v="Female"/>
    <s v="Health &amp; Beauty"/>
    <n v="95.95"/>
    <n v="120"/>
    <n v="5"/>
    <s v="Ewallet"/>
    <n v="8.8000000000000007"/>
    <n v="24.049999999999997"/>
    <n v="4.8099999999999996"/>
    <s v="Zouma"/>
    <x v="4"/>
    <s v="PA"/>
  </r>
  <r>
    <d v="2024-01-23T00:00:00"/>
    <s v="Queens"/>
    <s v="Normal"/>
    <s v="Female"/>
    <s v="Electronics"/>
    <n v="84.05"/>
    <n v="120"/>
    <n v="3"/>
    <s v="Cash"/>
    <n v="9.8000000000000007"/>
    <n v="35.950000000000003"/>
    <n v="7.1900000000000013"/>
    <s v="Ayeni"/>
    <x v="5"/>
    <s v="MI"/>
  </r>
  <r>
    <d v="2024-01-23T00:00:00"/>
    <s v="Manhattan"/>
    <s v="Member"/>
    <s v="Female"/>
    <s v="Food &amp; Beverages"/>
    <n v="47.63"/>
    <n v="120"/>
    <n v="9"/>
    <s v="Cash"/>
    <n v="5"/>
    <n v="72.37"/>
    <n v="14.474000000000002"/>
    <s v="Comfort"/>
    <x v="6"/>
    <s v="NM"/>
  </r>
  <r>
    <d v="2024-01-23T00:00:00"/>
    <s v="Queens"/>
    <s v="Member"/>
    <s v="Female"/>
    <s v="Sports &amp; Travel"/>
    <n v="89.8"/>
    <n v="120"/>
    <n v="10"/>
    <s v="Credit card"/>
    <n v="5.4"/>
    <n v="30.200000000000003"/>
    <n v="6.0400000000000009"/>
    <s v="Joe"/>
    <x v="7"/>
    <s v="CA"/>
  </r>
  <r>
    <d v="2024-01-23T00:00:00"/>
    <s v="Manhattan"/>
    <s v="Normal"/>
    <s v="Female"/>
    <s v="Electronics"/>
    <n v="66.06"/>
    <n v="120"/>
    <n v="6"/>
    <s v="Cash"/>
    <n v="7.3"/>
    <n v="53.94"/>
    <n v="10.788"/>
    <s v="Ope"/>
    <x v="8"/>
    <s v="NZ"/>
  </r>
  <r>
    <d v="2024-01-23T00:00:00"/>
    <s v="Queens"/>
    <s v="Member"/>
    <s v="Female"/>
    <s v="Home &amp; Lifestyle"/>
    <n v="83.77"/>
    <n v="120"/>
    <n v="6"/>
    <s v="Ewallet"/>
    <n v="5.4"/>
    <n v="36.230000000000004"/>
    <n v="7.2460000000000013"/>
    <s v="Ohio"/>
    <x v="9"/>
    <s v="AZ"/>
  </r>
  <r>
    <d v="2024-01-23T00:00:00"/>
    <s v="Queens"/>
    <s v="Member"/>
    <s v="Female"/>
    <s v="Home &amp; Lifestyle"/>
    <n v="47.38"/>
    <n v="120"/>
    <n v="4"/>
    <s v="Cash"/>
    <n v="7.1"/>
    <n v="72.62"/>
    <n v="14.524000000000001"/>
    <s v="Adeleke"/>
    <x v="10"/>
    <s v="AZ"/>
  </r>
  <r>
    <d v="2024-01-23T00:00:00"/>
    <s v="Manhattan"/>
    <s v="Normal"/>
    <s v="Male"/>
    <s v="Health &amp; Beauty"/>
    <n v="58.15"/>
    <n v="120"/>
    <n v="4"/>
    <s v="Cash"/>
    <n v="8.4"/>
    <n v="61.85"/>
    <n v="12.370000000000001"/>
    <s v="Adeleke"/>
    <x v="11"/>
    <s v="AZ"/>
  </r>
  <r>
    <d v="2024-01-23T00:00:00"/>
    <s v="Queens"/>
    <s v="Normal"/>
    <s v="Male"/>
    <s v="Health &amp; Beauty"/>
    <n v="99.96"/>
    <n v="120"/>
    <n v="7"/>
    <s v="Cash"/>
    <n v="6.1"/>
    <n v="20.040000000000006"/>
    <n v="4.0080000000000018"/>
    <s v="Omoloye"/>
    <x v="12"/>
    <s v="NM"/>
  </r>
  <r>
    <d v="2024-01-23T00:00:00"/>
    <s v="Manhattan"/>
    <s v="Member"/>
    <s v="Male"/>
    <s v="Fashion &amp; Accs"/>
    <n v="17.940000000000001"/>
    <n v="120"/>
    <n v="5"/>
    <s v="Ewallet"/>
    <n v="6.8"/>
    <n v="102.06"/>
    <n v="20.412000000000003"/>
    <s v="Pearson"/>
    <x v="13"/>
    <s v="NM"/>
  </r>
  <r>
    <d v="2024-01-23T00:00:00"/>
    <s v="Queens"/>
    <s v="Member"/>
    <s v="Male"/>
    <s v="Food &amp; Beverages"/>
    <n v="38.47"/>
    <n v="120"/>
    <n v="8"/>
    <s v="Cash"/>
    <n v="7.7"/>
    <n v="81.53"/>
    <n v="16.306000000000001"/>
    <s v="Orenze"/>
    <x v="14"/>
    <s v="AZ"/>
  </r>
  <r>
    <d v="2024-01-23T00:00:00"/>
    <s v="Queens"/>
    <s v="Normal"/>
    <s v="Female"/>
    <s v="Fashion &amp; Accs"/>
    <n v="45.44"/>
    <n v="120"/>
    <n v="7"/>
    <s v="Cash"/>
    <n v="9.1999999999999993"/>
    <n v="74.56"/>
    <n v="14.912000000000001"/>
    <s v="Amodu"/>
    <x v="15"/>
    <s v="CA"/>
  </r>
  <r>
    <d v="2024-01-23T00:00:00"/>
    <s v="Queens"/>
    <s v="Normal"/>
    <s v="Female"/>
    <s v="Health &amp; Beauty"/>
    <n v="10.99"/>
    <n v="120"/>
    <n v="5"/>
    <s v="Credit card"/>
    <n v="9.3000000000000007"/>
    <n v="109.01"/>
    <n v="21.802000000000003"/>
    <s v="Olunloyo"/>
    <x v="14"/>
    <s v="CO"/>
  </r>
  <r>
    <d v="2024-01-23T00:00:00"/>
    <s v="Manhattan"/>
    <s v="Normal"/>
    <s v="Male"/>
    <s v="Fashion &amp; Accs"/>
    <n v="30.61"/>
    <n v="120"/>
    <n v="1"/>
    <s v="Ewallet"/>
    <n v="5.2"/>
    <n v="89.39"/>
    <n v="17.878"/>
    <s v="Ariwodo"/>
    <x v="0"/>
    <s v="AZ"/>
  </r>
  <r>
    <d v="2024-01-23T00:00:00"/>
    <s v="Queens"/>
    <s v="Normal"/>
    <s v="Male"/>
    <s v="Electronics"/>
    <n v="83.08"/>
    <n v="120"/>
    <n v="1"/>
    <s v="Ewallet"/>
    <n v="6.4"/>
    <n v="36.92"/>
    <n v="7.3840000000000003"/>
    <s v="Micheal"/>
    <x v="1"/>
    <s v="CO"/>
  </r>
  <r>
    <d v="2024-01-23T00:00:00"/>
    <s v="Queens"/>
    <s v="Normal"/>
    <s v="Male"/>
    <s v="Food &amp; Beverages"/>
    <n v="19.25"/>
    <n v="120"/>
    <n v="8"/>
    <s v="Ewallet"/>
    <n v="6.6"/>
    <n v="100.75"/>
    <n v="20.150000000000002"/>
    <s v="Olawuyi"/>
    <x v="2"/>
    <s v="NY"/>
  </r>
  <r>
    <d v="2024-01-23T00:00:00"/>
    <s v="Manhattan"/>
    <s v="Member"/>
    <s v="Male"/>
    <s v="Food &amp; Beverages"/>
    <n v="98.53"/>
    <n v="120"/>
    <n v="6"/>
    <s v="Credit card"/>
    <n v="4"/>
    <n v="21.47"/>
    <n v="4.2939999999999996"/>
    <s v="Arimoro"/>
    <x v="3"/>
    <s v="MN"/>
  </r>
  <r>
    <d v="2024-01-24T00:00:00"/>
    <s v="Queens"/>
    <s v="Member"/>
    <s v="Male"/>
    <s v="Home &amp; Lifestyle"/>
    <n v="85.72"/>
    <n v="120"/>
    <n v="3"/>
    <s v="Ewallet"/>
    <n v="5.0999999999999996"/>
    <n v="34.28"/>
    <n v="6.8560000000000008"/>
    <s v="Zouma"/>
    <x v="4"/>
    <s v="MA"/>
  </r>
  <r>
    <d v="2024-01-24T00:00:00"/>
    <s v="Manhattan"/>
    <s v="Member"/>
    <s v="Male"/>
    <s v="Fashion &amp; Accs"/>
    <n v="86.68"/>
    <n v="120"/>
    <n v="8"/>
    <s v="Credit card"/>
    <n v="7.2"/>
    <n v="33.319999999999993"/>
    <n v="6.6639999999999988"/>
    <s v="Ayeni"/>
    <x v="5"/>
    <s v="PA"/>
  </r>
  <r>
    <d v="2024-01-24T00:00:00"/>
    <s v="Manhattan"/>
    <s v="Member"/>
    <s v="Female"/>
    <s v="Electronics"/>
    <n v="48.62"/>
    <n v="120"/>
    <n v="8"/>
    <s v="Cash"/>
    <n v="5"/>
    <n v="71.38"/>
    <n v="14.276"/>
    <s v="Comfort"/>
    <x v="6"/>
    <s v="MI"/>
  </r>
  <r>
    <d v="2024-01-24T00:00:00"/>
    <s v="Queens"/>
    <s v="Member"/>
    <s v="Female"/>
    <s v="Home &amp; Lifestyle"/>
    <n v="60.87"/>
    <n v="120"/>
    <n v="1"/>
    <s v="Cash"/>
    <n v="5.5"/>
    <n v="59.13"/>
    <n v="11.826000000000001"/>
    <s v="Joe"/>
    <x v="7"/>
    <s v="KY"/>
  </r>
  <r>
    <d v="2024-01-24T00:00:00"/>
    <s v="Brooklyn"/>
    <s v="Normal"/>
    <s v="Male"/>
    <s v="Home &amp; Lifestyle"/>
    <n v="73.28"/>
    <n v="120"/>
    <n v="5"/>
    <s v="Ewallet"/>
    <n v="8.4"/>
    <n v="46.72"/>
    <n v="9.3439999999999994"/>
    <s v="Ope"/>
    <x v="8"/>
    <s v="NM"/>
  </r>
  <r>
    <d v="2024-01-24T00:00:00"/>
    <s v="Manhattan"/>
    <s v="Normal"/>
    <s v="Female"/>
    <s v="Health &amp; Beauty"/>
    <n v="77.5"/>
    <n v="120"/>
    <n v="5"/>
    <s v="Ewallet"/>
    <n v="4.3"/>
    <n v="42.5"/>
    <n v="8.5"/>
    <s v="Ohio"/>
    <x v="9"/>
    <s v="CA"/>
  </r>
  <r>
    <d v="2024-01-24T00:00:00"/>
    <s v="Manhattan"/>
    <s v="Normal"/>
    <s v="Male"/>
    <s v="Sports &amp; Travel"/>
    <n v="78.77"/>
    <n v="120"/>
    <n v="10"/>
    <s v="Cash"/>
    <n v="6.4"/>
    <n v="41.230000000000004"/>
    <n v="8.2460000000000004"/>
    <s v="Adeleke"/>
    <x v="10"/>
    <s v="NZ"/>
  </r>
  <r>
    <d v="2024-01-24T00:00:00"/>
    <s v="Brooklyn"/>
    <s v="Normal"/>
    <s v="Female"/>
    <s v="Sports &amp; Travel"/>
    <n v="76.599999999999994"/>
    <n v="120"/>
    <n v="10"/>
    <s v="Ewallet"/>
    <n v="6"/>
    <n v="43.400000000000006"/>
    <n v="8.6800000000000015"/>
    <s v="Adeleke"/>
    <x v="11"/>
    <s v="AZ"/>
  </r>
  <r>
    <d v="2024-01-24T00:00:00"/>
    <s v="Manhattan"/>
    <s v="Normal"/>
    <s v="Male"/>
    <s v="Electronics"/>
    <n v="10.56"/>
    <n v="120"/>
    <n v="8"/>
    <s v="Cash"/>
    <n v="7.6"/>
    <n v="109.44"/>
    <n v="21.888000000000002"/>
    <s v="Omoloye"/>
    <x v="12"/>
    <s v="AZ"/>
  </r>
  <r>
    <d v="2024-01-24T00:00:00"/>
    <s v="Brooklyn"/>
    <s v="Member"/>
    <s v="Male"/>
    <s v="Electronics"/>
    <n v="40.299999999999997"/>
    <n v="120"/>
    <n v="10"/>
    <s v="Credit card"/>
    <n v="7"/>
    <n v="79.7"/>
    <n v="15.940000000000001"/>
    <s v="Pearson"/>
    <x v="13"/>
    <s v="AZ"/>
  </r>
  <r>
    <d v="2024-01-24T00:00:00"/>
    <s v="Brooklyn"/>
    <s v="Member"/>
    <s v="Female"/>
    <s v="Sports &amp; Travel"/>
    <n v="23.08"/>
    <n v="120"/>
    <n v="6"/>
    <s v="Ewallet"/>
    <n v="4.9000000000000004"/>
    <n v="96.92"/>
    <n v="19.384"/>
    <s v="Orenze"/>
    <x v="14"/>
    <s v="NM"/>
  </r>
  <r>
    <d v="2024-01-24T00:00:00"/>
    <s v="Brooklyn"/>
    <s v="Member"/>
    <s v="Male"/>
    <s v="Fashion &amp; Accs"/>
    <n v="93.22"/>
    <n v="120"/>
    <n v="3"/>
    <s v="Cash"/>
    <n v="7.2"/>
    <n v="26.78"/>
    <n v="5.3560000000000008"/>
    <s v="Amodu"/>
    <x v="15"/>
    <s v="NM"/>
  </r>
  <r>
    <d v="2024-01-24T00:00:00"/>
    <s v="Brooklyn"/>
    <s v="Normal"/>
    <s v="Male"/>
    <s v="Electronics"/>
    <n v="75.88"/>
    <n v="120"/>
    <n v="7"/>
    <s v="Ewallet"/>
    <n v="8.9"/>
    <n v="44.120000000000005"/>
    <n v="8.8240000000000016"/>
    <s v="Olunloyo"/>
    <x v="14"/>
    <s v="AZ"/>
  </r>
  <r>
    <d v="2024-01-25T00:00:00"/>
    <s v="Brooklyn"/>
    <s v="Normal"/>
    <s v="Female"/>
    <s v="Fashion &amp; Accs"/>
    <n v="60.96"/>
    <n v="120"/>
    <n v="2"/>
    <s v="Credit card"/>
    <n v="4.9000000000000004"/>
    <n v="59.04"/>
    <n v="11.808"/>
    <s v="Ariwodo"/>
    <x v="0"/>
    <s v="CA"/>
  </r>
  <r>
    <d v="2024-01-25T00:00:00"/>
    <s v="Brooklyn"/>
    <s v="Normal"/>
    <s v="Female"/>
    <s v="Food &amp; Beverages"/>
    <n v="48.51"/>
    <n v="120"/>
    <n v="7"/>
    <s v="Credit card"/>
    <n v="5.2"/>
    <n v="71.490000000000009"/>
    <n v="14.298000000000002"/>
    <s v="Micheal"/>
    <x v="1"/>
    <s v="CO"/>
  </r>
  <r>
    <d v="2024-01-25T00:00:00"/>
    <s v="Manhattan"/>
    <s v="Member"/>
    <s v="Male"/>
    <s v="Home &amp; Lifestyle"/>
    <n v="60.01"/>
    <n v="120"/>
    <n v="4"/>
    <s v="Cash"/>
    <n v="4.5"/>
    <n v="59.99"/>
    <n v="11.998000000000001"/>
    <s v="Olawuyi"/>
    <x v="2"/>
    <s v="AZ"/>
  </r>
  <r>
    <d v="2024-01-25T00:00:00"/>
    <s v="Brooklyn"/>
    <s v="Normal"/>
    <s v="Male"/>
    <s v="Health &amp; Beauty"/>
    <n v="96.11"/>
    <n v="120"/>
    <n v="1"/>
    <s v="Ewallet"/>
    <n v="7.8"/>
    <n v="23.89"/>
    <n v="4.7780000000000005"/>
    <s v="Arimoro"/>
    <x v="3"/>
    <s v="CO"/>
  </r>
  <r>
    <d v="2024-01-25T00:00:00"/>
    <s v="Brooklyn"/>
    <s v="Member"/>
    <s v="Male"/>
    <s v="Health &amp; Beauty"/>
    <n v="51.13"/>
    <n v="120"/>
    <n v="4"/>
    <s v="Credit card"/>
    <n v="4"/>
    <n v="68.87"/>
    <n v="13.774000000000001"/>
    <s v="Zouma"/>
    <x v="4"/>
    <s v="NY"/>
  </r>
  <r>
    <d v="2024-01-25T00:00:00"/>
    <s v="Manhattan"/>
    <s v="Member"/>
    <s v="Female"/>
    <s v="Sports &amp; Travel"/>
    <n v="40.049999999999997"/>
    <n v="120"/>
    <n v="4"/>
    <s v="Cash"/>
    <n v="9.6999999999999993"/>
    <n v="79.95"/>
    <n v="15.990000000000002"/>
    <s v="Ayeni"/>
    <x v="5"/>
    <s v="MN"/>
  </r>
  <r>
    <d v="2024-01-25T00:00:00"/>
    <s v="Brooklyn"/>
    <s v="Normal"/>
    <s v="Male"/>
    <s v="Sports &amp; Travel"/>
    <n v="21.87"/>
    <n v="120"/>
    <n v="2"/>
    <s v="Ewallet"/>
    <n v="6.9"/>
    <n v="98.13"/>
    <n v="19.626000000000001"/>
    <s v="Comfort"/>
    <x v="6"/>
    <s v="MA"/>
  </r>
  <r>
    <d v="2024-01-25T00:00:00"/>
    <s v="Queens"/>
    <s v="Member"/>
    <s v="Male"/>
    <s v="Fashion &amp; Accs"/>
    <n v="15.43"/>
    <n v="120"/>
    <n v="1"/>
    <s v="Credit card"/>
    <n v="6.1"/>
    <n v="104.57"/>
    <n v="20.914000000000001"/>
    <s v="Joe"/>
    <x v="7"/>
    <s v="PA"/>
  </r>
  <r>
    <d v="2024-01-25T00:00:00"/>
    <s v="Manhattan"/>
    <s v="Member"/>
    <s v="Male"/>
    <s v="Home &amp; Lifestyle"/>
    <n v="53.3"/>
    <n v="120"/>
    <n v="3"/>
    <s v="Ewallet"/>
    <n v="7.5"/>
    <n v="66.7"/>
    <n v="13.340000000000002"/>
    <s v="Ope"/>
    <x v="8"/>
    <s v="MI"/>
  </r>
  <r>
    <d v="2024-01-25T00:00:00"/>
    <s v="Brooklyn"/>
    <s v="Normal"/>
    <s v="Female"/>
    <s v="Fashion &amp; Accs"/>
    <n v="39.619999999999997"/>
    <n v="120"/>
    <n v="7"/>
    <s v="Cash"/>
    <n v="7.5"/>
    <n v="80.38"/>
    <n v="16.076000000000001"/>
    <s v="Ohio"/>
    <x v="9"/>
    <s v="KY"/>
  </r>
  <r>
    <d v="2024-01-25T00:00:00"/>
    <s v="Queens"/>
    <s v="Member"/>
    <s v="Female"/>
    <s v="Fashion &amp; Accs"/>
    <n v="84.87"/>
    <n v="120"/>
    <n v="3"/>
    <s v="Ewallet"/>
    <n v="7.4"/>
    <n v="35.129999999999995"/>
    <n v="7.0259999999999998"/>
    <s v="Adeleke"/>
    <x v="10"/>
    <s v="NM"/>
  </r>
  <r>
    <d v="2024-01-25T00:00:00"/>
    <s v="Queens"/>
    <s v="Member"/>
    <s v="Male"/>
    <s v="Health &amp; Beauty"/>
    <n v="90.5"/>
    <n v="120"/>
    <n v="10"/>
    <s v="Cash"/>
    <n v="8.1"/>
    <n v="29.5"/>
    <n v="5.9"/>
    <s v="Adeleke"/>
    <x v="11"/>
    <s v="CA"/>
  </r>
  <r>
    <d v="2024-01-25T00:00:00"/>
    <s v="Manhattan"/>
    <s v="Normal"/>
    <s v="Male"/>
    <s v="Electronics"/>
    <n v="26.23"/>
    <n v="120"/>
    <n v="9"/>
    <s v="Ewallet"/>
    <n v="5.9"/>
    <n v="93.77"/>
    <n v="18.754000000000001"/>
    <s v="Omoloye"/>
    <x v="12"/>
    <s v="NZ"/>
  </r>
  <r>
    <d v="2024-01-25T00:00:00"/>
    <s v="Queens"/>
    <s v="Member"/>
    <s v="Female"/>
    <s v="Sports &amp; Travel"/>
    <n v="70.19"/>
    <n v="120"/>
    <n v="9"/>
    <s v="Cash"/>
    <n v="6.7"/>
    <n v="49.81"/>
    <n v="9.9620000000000015"/>
    <s v="Pearson"/>
    <x v="13"/>
    <s v="AZ"/>
  </r>
  <r>
    <d v="2024-01-25T00:00:00"/>
    <s v="Queens"/>
    <s v="Normal"/>
    <s v="Male"/>
    <s v="Health &amp; Beauty"/>
    <n v="34.31"/>
    <n v="120"/>
    <n v="8"/>
    <s v="Ewallet"/>
    <n v="5.7"/>
    <n v="85.69"/>
    <n v="17.138000000000002"/>
    <s v="Orenze"/>
    <x v="14"/>
    <s v="AZ"/>
  </r>
  <r>
    <d v="2024-01-25T00:00:00"/>
    <s v="Manhattan"/>
    <s v="Normal"/>
    <s v="Male"/>
    <s v="Fashion &amp; Accs"/>
    <n v="74.099999999999994"/>
    <n v="120"/>
    <n v="1"/>
    <s v="Cash"/>
    <n v="9.1999999999999993"/>
    <n v="45.900000000000006"/>
    <n v="9.1800000000000015"/>
    <s v="Amodu"/>
    <x v="15"/>
    <s v="AZ"/>
  </r>
  <r>
    <d v="2024-01-25T00:00:00"/>
    <s v="Brooklyn"/>
    <s v="Normal"/>
    <s v="Female"/>
    <s v="Food &amp; Beverages"/>
    <n v="88.36"/>
    <n v="120"/>
    <n v="5"/>
    <s v="Cash"/>
    <n v="9.6"/>
    <n v="31.64"/>
    <n v="6.3280000000000003"/>
    <s v="Olunloyo"/>
    <x v="14"/>
    <s v="NM"/>
  </r>
  <r>
    <d v="2024-01-26T00:00:00"/>
    <s v="Brooklyn"/>
    <s v="Member"/>
    <s v="Male"/>
    <s v="Food &amp; Beverages"/>
    <n v="80.05"/>
    <n v="120"/>
    <n v="5"/>
    <s v="Credit card"/>
    <n v="9.4"/>
    <n v="39.950000000000003"/>
    <n v="7.9900000000000011"/>
    <s v="Ariwodo"/>
    <x v="0"/>
    <s v="NM"/>
  </r>
  <r>
    <d v="2024-01-26T00:00:00"/>
    <s v="Brooklyn"/>
    <s v="Member"/>
    <s v="Male"/>
    <s v="Health &amp; Beauty"/>
    <n v="69.37"/>
    <n v="120"/>
    <n v="9"/>
    <s v="Ewallet"/>
    <n v="4"/>
    <n v="50.629999999999995"/>
    <n v="10.125999999999999"/>
    <s v="Micheal"/>
    <x v="1"/>
    <s v="AZ"/>
  </r>
  <r>
    <d v="2024-01-26T00:00:00"/>
    <s v="Queens"/>
    <s v="Normal"/>
    <s v="Female"/>
    <s v="Fashion &amp; Accs"/>
    <n v="64.989999999999995"/>
    <n v="120"/>
    <n v="1"/>
    <s v="Credit card"/>
    <n v="4.5"/>
    <n v="55.010000000000005"/>
    <n v="11.002000000000002"/>
    <s v="Olawuyi"/>
    <x v="2"/>
    <s v="CA"/>
  </r>
  <r>
    <d v="2024-01-26T00:00:00"/>
    <s v="Manhattan"/>
    <s v="Normal"/>
    <s v="Female"/>
    <s v="Fashion &amp; Accs"/>
    <n v="12.09"/>
    <n v="120"/>
    <n v="1"/>
    <s v="Credit card"/>
    <n v="8.1999999999999993"/>
    <n v="107.91"/>
    <n v="21.582000000000001"/>
    <s v="Arimoro"/>
    <x v="3"/>
    <s v="CO"/>
  </r>
  <r>
    <d v="2024-01-26T00:00:00"/>
    <s v="Brooklyn"/>
    <s v="Normal"/>
    <s v="Male"/>
    <s v="Electronics"/>
    <n v="87.08"/>
    <n v="120"/>
    <n v="7"/>
    <s v="Cash"/>
    <n v="5.5"/>
    <n v="32.92"/>
    <n v="6.5840000000000005"/>
    <s v="Zouma"/>
    <x v="4"/>
    <s v="AZ"/>
  </r>
  <r>
    <d v="2024-01-26T00:00:00"/>
    <s v="Brooklyn"/>
    <s v="Normal"/>
    <s v="Male"/>
    <s v="Home &amp; Lifestyle"/>
    <n v="25.55"/>
    <n v="120"/>
    <n v="4"/>
    <s v="Ewallet"/>
    <n v="5.7"/>
    <n v="94.45"/>
    <n v="18.89"/>
    <s v="Ayeni"/>
    <x v="5"/>
    <s v="CO"/>
  </r>
  <r>
    <d v="2024-01-26T00:00:00"/>
    <s v="Brooklyn"/>
    <s v="Member"/>
    <s v="Female"/>
    <s v="Food &amp; Beverages"/>
    <n v="78.88"/>
    <n v="120"/>
    <n v="2"/>
    <s v="Cash"/>
    <n v="9.1"/>
    <n v="41.120000000000005"/>
    <n v="8.224000000000002"/>
    <s v="Comfort"/>
    <x v="6"/>
    <s v="NY"/>
  </r>
  <r>
    <d v="2024-01-26T00:00:00"/>
    <s v="Brooklyn"/>
    <s v="Normal"/>
    <s v="Male"/>
    <s v="Food &amp; Beverages"/>
    <n v="33.33"/>
    <n v="120"/>
    <n v="2"/>
    <s v="Credit card"/>
    <n v="6.4"/>
    <n v="86.67"/>
    <n v="17.334"/>
    <s v="Joe"/>
    <x v="7"/>
    <s v="MN"/>
  </r>
  <r>
    <d v="2024-01-26T00:00:00"/>
    <s v="Manhattan"/>
    <s v="Normal"/>
    <s v="Male"/>
    <s v="Electronics"/>
    <n v="51.69"/>
    <n v="120"/>
    <n v="7"/>
    <s v="Cash"/>
    <n v="5.5"/>
    <n v="68.31"/>
    <n v="13.662000000000001"/>
    <s v="Ope"/>
    <x v="8"/>
    <s v="MA"/>
  </r>
  <r>
    <d v="2024-01-26T00:00:00"/>
    <s v="Brooklyn"/>
    <s v="Normal"/>
    <s v="Female"/>
    <s v="Sports &amp; Travel"/>
    <n v="51.54"/>
    <n v="120"/>
    <n v="5"/>
    <s v="Cash"/>
    <n v="4.2"/>
    <n v="68.460000000000008"/>
    <n v="13.692000000000002"/>
    <s v="Ohio"/>
    <x v="9"/>
    <s v="PA"/>
  </r>
  <r>
    <d v="2024-01-26T00:00:00"/>
    <s v="Brooklyn"/>
    <s v="Normal"/>
    <s v="Female"/>
    <s v="Food &amp; Beverages"/>
    <n v="96.68"/>
    <n v="120"/>
    <n v="3"/>
    <s v="Ewallet"/>
    <n v="6.4"/>
    <n v="23.319999999999993"/>
    <n v="4.6639999999999988"/>
    <s v="Adeleke"/>
    <x v="10"/>
    <s v="MI"/>
  </r>
  <r>
    <d v="2024-01-26T00:00:00"/>
    <s v="Queens"/>
    <s v="Member"/>
    <s v="Male"/>
    <s v="Health &amp; Beauty"/>
    <n v="33.81"/>
    <n v="120"/>
    <n v="3"/>
    <s v="Ewallet"/>
    <n v="7.3"/>
    <n v="86.19"/>
    <n v="17.238"/>
    <s v="Adeleke"/>
    <x v="11"/>
    <s v="KY"/>
  </r>
  <r>
    <d v="2024-01-26T00:00:00"/>
    <s v="Manhattan"/>
    <s v="Normal"/>
    <s v="Male"/>
    <s v="Fashion &amp; Accs"/>
    <n v="21.32"/>
    <n v="120"/>
    <n v="1"/>
    <s v="Cash"/>
    <n v="5.9"/>
    <n v="98.68"/>
    <n v="19.736000000000004"/>
    <s v="Omoloye"/>
    <x v="12"/>
    <s v="NM"/>
  </r>
  <r>
    <d v="2024-01-26T00:00:00"/>
    <s v="Queens"/>
    <s v="Normal"/>
    <s v="Female"/>
    <s v="Sports &amp; Travel"/>
    <n v="44.86"/>
    <n v="120"/>
    <n v="10"/>
    <s v="Ewallet"/>
    <n v="8.1999999999999993"/>
    <n v="75.14"/>
    <n v="15.028"/>
    <s v="Pearson"/>
    <x v="13"/>
    <s v="CA"/>
  </r>
  <r>
    <d v="2024-01-26T00:00:00"/>
    <s v="Brooklyn"/>
    <s v="Normal"/>
    <s v="Female"/>
    <s v="Fashion &amp; Accs"/>
    <n v="37.950000000000003"/>
    <n v="120"/>
    <n v="10"/>
    <s v="Cash"/>
    <n v="9.6999999999999993"/>
    <n v="82.05"/>
    <n v="16.41"/>
    <s v="Orenze"/>
    <x v="14"/>
    <s v="NZ"/>
  </r>
  <r>
    <d v="2024-01-26T00:00:00"/>
    <s v="Brooklyn"/>
    <s v="Normal"/>
    <s v="Female"/>
    <s v="Fashion &amp; Accs"/>
    <n v="81.37"/>
    <n v="120"/>
    <n v="2"/>
    <s v="Cash"/>
    <n v="6.5"/>
    <n v="38.629999999999995"/>
    <n v="7.7259999999999991"/>
    <s v="Amodu"/>
    <x v="15"/>
    <s v="AZ"/>
  </r>
  <r>
    <d v="2024-01-26T00:00:00"/>
    <s v="Queens"/>
    <s v="Normal"/>
    <s v="Female"/>
    <s v="Fashion &amp; Accs"/>
    <n v="36.85"/>
    <n v="120"/>
    <n v="5"/>
    <s v="Cash"/>
    <n v="9.1999999999999993"/>
    <n v="83.15"/>
    <n v="16.630000000000003"/>
    <s v="Olunloyo"/>
    <x v="14"/>
    <s v="AZ"/>
  </r>
  <r>
    <d v="2024-01-27T00:00:00"/>
    <s v="Manhattan"/>
    <s v="Member"/>
    <s v="Male"/>
    <s v="Electronics"/>
    <n v="73.260000000000005"/>
    <n v="120"/>
    <n v="1"/>
    <s v="Ewallet"/>
    <n v="9.6999999999999993"/>
    <n v="46.739999999999995"/>
    <n v="9.347999999999999"/>
    <s v="Ariwodo"/>
    <x v="0"/>
    <s v="AZ"/>
  </r>
  <r>
    <d v="2024-01-27T00:00:00"/>
    <s v="Queens"/>
    <s v="Member"/>
    <s v="Female"/>
    <s v="Fashion &amp; Accs"/>
    <n v="54.07"/>
    <n v="120"/>
    <n v="9"/>
    <s v="Ewallet"/>
    <n v="9.5"/>
    <n v="65.930000000000007"/>
    <n v="13.186000000000002"/>
    <s v="Micheal"/>
    <x v="1"/>
    <s v="NM"/>
  </r>
  <r>
    <d v="2024-01-27T00:00:00"/>
    <s v="Queens"/>
    <s v="Normal"/>
    <s v="Female"/>
    <s v="Sports &amp; Travel"/>
    <n v="14.36"/>
    <n v="120"/>
    <n v="10"/>
    <s v="Cash"/>
    <n v="5.4"/>
    <n v="105.64"/>
    <n v="21.128"/>
    <s v="Olawuyi"/>
    <x v="2"/>
    <s v="NM"/>
  </r>
  <r>
    <d v="2024-01-27T00:00:00"/>
    <s v="Queens"/>
    <s v="Normal"/>
    <s v="Female"/>
    <s v="Food &amp; Beverages"/>
    <n v="90.24"/>
    <n v="120"/>
    <n v="6"/>
    <s v="Cash"/>
    <n v="6.2"/>
    <n v="29.760000000000005"/>
    <n v="5.9520000000000017"/>
    <s v="Arimoro"/>
    <x v="3"/>
    <s v="AZ"/>
  </r>
  <r>
    <d v="2024-01-27T00:00:00"/>
    <s v="Queens"/>
    <s v="Member"/>
    <s v="Female"/>
    <s v="Electronics"/>
    <n v="46.57"/>
    <n v="120"/>
    <n v="10"/>
    <s v="Cash"/>
    <n v="7.6"/>
    <n v="73.430000000000007"/>
    <n v="14.686000000000002"/>
    <s v="Zouma"/>
    <x v="4"/>
    <s v="CA"/>
  </r>
  <r>
    <d v="2024-01-27T00:00:00"/>
    <s v="Brooklyn"/>
    <s v="Normal"/>
    <s v="Female"/>
    <s v="Home &amp; Lifestyle"/>
    <n v="49.01"/>
    <n v="120"/>
    <n v="10"/>
    <s v="Credit card"/>
    <n v="4.2"/>
    <n v="70.990000000000009"/>
    <n v="14.198000000000002"/>
    <s v="Ayeni"/>
    <x v="5"/>
    <s v="CO"/>
  </r>
  <r>
    <d v="2024-01-27T00:00:00"/>
    <s v="Manhattan"/>
    <s v="Member"/>
    <s v="Male"/>
    <s v="Health &amp; Beauty"/>
    <n v="58.22"/>
    <n v="120"/>
    <n v="8"/>
    <s v="Ewallet"/>
    <n v="8.4"/>
    <n v="61.78"/>
    <n v="12.356000000000002"/>
    <s v="Comfort"/>
    <x v="6"/>
    <s v="AZ"/>
  </r>
  <r>
    <d v="2024-01-27T00:00:00"/>
    <s v="Manhattan"/>
    <s v="Normal"/>
    <s v="Female"/>
    <s v="Sports &amp; Travel"/>
    <n v="32.25"/>
    <n v="120"/>
    <n v="5"/>
    <s v="Cash"/>
    <n v="9"/>
    <n v="87.75"/>
    <n v="17.55"/>
    <s v="Joe"/>
    <x v="7"/>
    <s v="CO"/>
  </r>
  <r>
    <d v="2024-01-27T00:00:00"/>
    <s v="Brooklyn"/>
    <s v="Member"/>
    <s v="Male"/>
    <s v="Health &amp; Beauty"/>
    <n v="96.16"/>
    <n v="120"/>
    <n v="4"/>
    <s v="Credit card"/>
    <n v="8.4"/>
    <n v="23.840000000000003"/>
    <n v="4.7680000000000007"/>
    <s v="Ope"/>
    <x v="8"/>
    <s v="NY"/>
  </r>
  <r>
    <d v="2024-01-27T00:00:00"/>
    <s v="Queens"/>
    <s v="Normal"/>
    <s v="Male"/>
    <s v="Home &amp; Lifestyle"/>
    <n v="69.400000000000006"/>
    <n v="120"/>
    <n v="2"/>
    <s v="Ewallet"/>
    <n v="9"/>
    <n v="50.599999999999994"/>
    <n v="10.119999999999999"/>
    <s v="Ohio"/>
    <x v="9"/>
    <s v="MN"/>
  </r>
  <r>
    <d v="2024-01-27T00:00:00"/>
    <s v="Manhattan"/>
    <s v="Normal"/>
    <s v="Female"/>
    <s v="Home &amp; Lifestyle"/>
    <n v="12.03"/>
    <n v="120"/>
    <n v="2"/>
    <s v="Cash"/>
    <n v="5.0999999999999996"/>
    <n v="107.97"/>
    <n v="21.594000000000001"/>
    <s v="Adeleke"/>
    <x v="10"/>
    <s v="MA"/>
  </r>
  <r>
    <d v="2024-01-27T00:00:00"/>
    <s v="Manhattan"/>
    <s v="Normal"/>
    <s v="Male"/>
    <s v="Food &amp; Beverages"/>
    <n v="81.709999999999994"/>
    <n v="120"/>
    <n v="6"/>
    <s v="Credit card"/>
    <n v="8"/>
    <n v="38.290000000000006"/>
    <n v="7.6580000000000013"/>
    <s v="Adeleke"/>
    <x v="11"/>
    <s v="PA"/>
  </r>
  <r>
    <d v="2024-01-27T00:00:00"/>
    <s v="Queens"/>
    <s v="Member"/>
    <s v="Female"/>
    <s v="Home &amp; Lifestyle"/>
    <n v="24.24"/>
    <n v="120"/>
    <n v="7"/>
    <s v="Ewallet"/>
    <n v="9.4"/>
    <n v="95.76"/>
    <n v="19.152000000000001"/>
    <s v="Omoloye"/>
    <x v="12"/>
    <s v="MI"/>
  </r>
  <r>
    <d v="2024-01-27T00:00:00"/>
    <s v="Manhattan"/>
    <s v="Normal"/>
    <s v="Female"/>
    <s v="Fashion &amp; Accs"/>
    <n v="54.28"/>
    <n v="120"/>
    <n v="7"/>
    <s v="Ewallet"/>
    <n v="9.3000000000000007"/>
    <n v="65.72"/>
    <n v="13.144"/>
    <s v="Pearson"/>
    <x v="13"/>
    <s v="KY"/>
  </r>
  <r>
    <d v="2024-01-28T00:00:00"/>
    <s v="Queens"/>
    <s v="Normal"/>
    <s v="Female"/>
    <s v="Home &amp; Lifestyle"/>
    <n v="69.81"/>
    <n v="120"/>
    <n v="4"/>
    <s v="Credit card"/>
    <n v="5.9"/>
    <n v="50.19"/>
    <n v="10.038"/>
    <s v="Orenze"/>
    <x v="14"/>
    <s v="NM"/>
  </r>
  <r>
    <d v="2024-01-28T00:00:00"/>
    <s v="Brooklyn"/>
    <s v="Normal"/>
    <s v="Male"/>
    <s v="Health &amp; Beauty"/>
    <n v="99.16"/>
    <n v="120"/>
    <n v="8"/>
    <s v="Credit card"/>
    <n v="4.2"/>
    <n v="20.840000000000003"/>
    <n v="4.168000000000001"/>
    <s v="Amodu"/>
    <x v="15"/>
    <s v="CA"/>
  </r>
  <r>
    <d v="2024-01-28T00:00:00"/>
    <s v="Brooklyn"/>
    <s v="Member"/>
    <s v="Female"/>
    <s v="Health &amp; Beauty"/>
    <n v="19.149999999999999"/>
    <n v="120"/>
    <n v="1"/>
    <s v="Credit card"/>
    <n v="9.5"/>
    <n v="100.85"/>
    <n v="20.170000000000002"/>
    <s v="Olunloyo"/>
    <x v="14"/>
    <s v="NZ"/>
  </r>
  <r>
    <d v="2024-01-28T00:00:00"/>
    <s v="Queens"/>
    <s v="Normal"/>
    <s v="Female"/>
    <s v="Sports &amp; Travel"/>
    <n v="80.97"/>
    <n v="120"/>
    <n v="8"/>
    <s v="Cash"/>
    <n v="9.3000000000000007"/>
    <n v="39.03"/>
    <n v="7.8060000000000009"/>
    <s v="Ariwodo"/>
    <x v="0"/>
    <s v="AZ"/>
  </r>
  <r>
    <d v="2024-01-28T00:00:00"/>
    <s v="Manhattan"/>
    <s v="Normal"/>
    <s v="Male"/>
    <s v="Food &amp; Beverages"/>
    <n v="11.53"/>
    <n v="120"/>
    <n v="7"/>
    <s v="Cash"/>
    <n v="8.1"/>
    <n v="108.47"/>
    <n v="21.694000000000003"/>
    <s v="Micheal"/>
    <x v="1"/>
    <s v="AZ"/>
  </r>
  <r>
    <d v="2024-01-28T00:00:00"/>
    <s v="Queens"/>
    <s v="Normal"/>
    <s v="Female"/>
    <s v="Fashion &amp; Accs"/>
    <n v="23.82"/>
    <n v="120"/>
    <n v="5"/>
    <s v="Ewallet"/>
    <n v="5.4"/>
    <n v="96.18"/>
    <n v="19.236000000000004"/>
    <s v="Olawuyi"/>
    <x v="2"/>
    <s v="AZ"/>
  </r>
  <r>
    <d v="2024-01-28T00:00:00"/>
    <s v="Brooklyn"/>
    <s v="Member"/>
    <s v="Female"/>
    <s v="Electronics"/>
    <n v="21.43"/>
    <n v="120"/>
    <n v="10"/>
    <s v="Cash"/>
    <n v="6.2"/>
    <n v="98.57"/>
    <n v="19.713999999999999"/>
    <s v="Arimoro"/>
    <x v="3"/>
    <s v="NM"/>
  </r>
  <r>
    <d v="2024-01-28T00:00:00"/>
    <s v="Queens"/>
    <s v="Normal"/>
    <s v="Male"/>
    <s v="Health &amp; Beauty"/>
    <n v="17.41"/>
    <n v="120"/>
    <n v="5"/>
    <s v="Credit card"/>
    <n v="4.9000000000000004"/>
    <n v="102.59"/>
    <n v="20.518000000000001"/>
    <s v="Zouma"/>
    <x v="4"/>
    <s v="NM"/>
  </r>
  <r>
    <d v="2024-01-28T00:00:00"/>
    <s v="Brooklyn"/>
    <s v="Member"/>
    <s v="Male"/>
    <s v="Sports &amp; Travel"/>
    <n v="78.069999999999993"/>
    <n v="120"/>
    <n v="9"/>
    <s v="Cash"/>
    <n v="4.5"/>
    <n v="41.930000000000007"/>
    <n v="8.386000000000001"/>
    <s v="Ayeni"/>
    <x v="5"/>
    <s v="AZ"/>
  </r>
  <r>
    <d v="2024-01-28T00:00:00"/>
    <s v="Brooklyn"/>
    <s v="Member"/>
    <s v="Male"/>
    <s v="Health &amp; Beauty"/>
    <n v="75.37"/>
    <n v="120"/>
    <n v="8"/>
    <s v="Credit card"/>
    <n v="8.4"/>
    <n v="44.629999999999995"/>
    <n v="8.9260000000000002"/>
    <s v="Comfort"/>
    <x v="6"/>
    <s v="CA"/>
  </r>
  <r>
    <d v="2024-01-28T00:00:00"/>
    <s v="Queens"/>
    <s v="Member"/>
    <s v="Male"/>
    <s v="Electronics"/>
    <n v="18.77"/>
    <n v="120"/>
    <n v="6"/>
    <s v="Credit card"/>
    <n v="5.5"/>
    <n v="101.23"/>
    <n v="20.246000000000002"/>
    <s v="Joe"/>
    <x v="7"/>
    <s v="CO"/>
  </r>
  <r>
    <d v="2024-01-28T00:00:00"/>
    <s v="Brooklyn"/>
    <s v="Member"/>
    <s v="Female"/>
    <s v="Health &amp; Beauty"/>
    <n v="72.11"/>
    <n v="120"/>
    <n v="9"/>
    <s v="Credit card"/>
    <n v="7.7"/>
    <n v="47.89"/>
    <n v="9.5780000000000012"/>
    <s v="Ope"/>
    <x v="8"/>
    <s v="AZ"/>
  </r>
  <r>
    <d v="2024-01-28T00:00:00"/>
    <s v="Manhattan"/>
    <s v="Member"/>
    <s v="Male"/>
    <s v="Electronics"/>
    <n v="24.18"/>
    <n v="120"/>
    <n v="8"/>
    <s v="Ewallet"/>
    <n v="9.8000000000000007"/>
    <n v="95.82"/>
    <n v="19.163999999999998"/>
    <s v="Ohio"/>
    <x v="9"/>
    <s v="CO"/>
  </r>
  <r>
    <d v="2024-01-28T00:00:00"/>
    <s v="Queens"/>
    <s v="Member"/>
    <s v="Male"/>
    <s v="Health &amp; Beauty"/>
    <n v="86.8"/>
    <n v="120"/>
    <n v="3"/>
    <s v="Ewallet"/>
    <n v="9.9"/>
    <n v="33.200000000000003"/>
    <n v="6.6400000000000006"/>
    <s v="Adeleke"/>
    <x v="10"/>
    <s v="NY"/>
  </r>
  <r>
    <d v="2024-01-29T00:00:00"/>
    <s v="Brooklyn"/>
    <s v="Member"/>
    <s v="Male"/>
    <s v="Fashion &amp; Accs"/>
    <n v="32.619999999999997"/>
    <n v="120"/>
    <n v="4"/>
    <s v="Cash"/>
    <n v="9"/>
    <n v="87.38"/>
    <n v="17.475999999999999"/>
    <s v="Adeleke"/>
    <x v="11"/>
    <s v="MN"/>
  </r>
  <r>
    <d v="2024-01-29T00:00:00"/>
    <s v="Queens"/>
    <s v="Normal"/>
    <s v="Male"/>
    <s v="Electronics"/>
    <n v="58.76"/>
    <n v="120"/>
    <n v="10"/>
    <s v="Ewallet"/>
    <n v="9"/>
    <n v="61.24"/>
    <n v="12.248000000000001"/>
    <s v="Omoloye"/>
    <x v="12"/>
    <s v="MA"/>
  </r>
  <r>
    <d v="2024-01-29T00:00:00"/>
    <s v="Manhattan"/>
    <s v="Member"/>
    <s v="Female"/>
    <s v="Sports &amp; Travel"/>
    <n v="22.01"/>
    <n v="120"/>
    <n v="4"/>
    <s v="Credit card"/>
    <n v="6.6"/>
    <n v="97.99"/>
    <n v="19.597999999999999"/>
    <s v="Pearson"/>
    <x v="13"/>
    <s v="PA"/>
  </r>
  <r>
    <d v="2024-01-29T00:00:00"/>
    <s v="Manhattan"/>
    <s v="Normal"/>
    <s v="Male"/>
    <s v="Electronics"/>
    <n v="38.6"/>
    <n v="120"/>
    <n v="1"/>
    <s v="Ewallet"/>
    <n v="6.7"/>
    <n v="81.400000000000006"/>
    <n v="16.28"/>
    <s v="Orenze"/>
    <x v="14"/>
    <s v="MI"/>
  </r>
  <r>
    <d v="2024-01-29T00:00:00"/>
    <s v="Queens"/>
    <s v="Normal"/>
    <s v="Male"/>
    <s v="Health &amp; Beauty"/>
    <n v="40.35"/>
    <n v="120"/>
    <n v="1"/>
    <s v="Ewallet"/>
    <n v="6.2"/>
    <n v="79.650000000000006"/>
    <n v="15.930000000000001"/>
    <s v="Amodu"/>
    <x v="15"/>
    <s v="KY"/>
  </r>
  <r>
    <d v="2024-01-29T00:00:00"/>
    <s v="Manhattan"/>
    <s v="Member"/>
    <s v="Female"/>
    <s v="Sports &amp; Travel"/>
    <n v="27.93"/>
    <n v="120"/>
    <n v="5"/>
    <s v="Cash"/>
    <n v="5.9"/>
    <n v="92.07"/>
    <n v="18.413999999999998"/>
    <s v="Olunloyo"/>
    <x v="14"/>
    <s v="NM"/>
  </r>
  <r>
    <d v="2024-01-29T00:00:00"/>
    <s v="Queens"/>
    <s v="Normal"/>
    <s v="Male"/>
    <s v="Fashion &amp; Accs"/>
    <n v="42.08"/>
    <n v="120"/>
    <n v="6"/>
    <s v="Cash"/>
    <n v="8.9"/>
    <n v="77.92"/>
    <n v="15.584000000000001"/>
    <s v="Ariwodo"/>
    <x v="0"/>
    <s v="CA"/>
  </r>
  <r>
    <d v="2024-01-29T00:00:00"/>
    <s v="Brooklyn"/>
    <s v="Normal"/>
    <s v="Female"/>
    <s v="Food &amp; Beverages"/>
    <n v="84.05"/>
    <n v="120"/>
    <n v="6"/>
    <s v="Credit card"/>
    <n v="7.7"/>
    <n v="35.950000000000003"/>
    <n v="7.1900000000000013"/>
    <s v="Micheal"/>
    <x v="1"/>
    <s v="NZ"/>
  </r>
  <r>
    <d v="2024-01-29T00:00:00"/>
    <s v="Queens"/>
    <s v="Member"/>
    <s v="Female"/>
    <s v="Sports &amp; Travel"/>
    <n v="19.149999999999999"/>
    <n v="120"/>
    <n v="6"/>
    <s v="Credit card"/>
    <n v="6.8"/>
    <n v="100.85"/>
    <n v="20.170000000000002"/>
    <s v="Olawuyi"/>
    <x v="2"/>
    <s v="AZ"/>
  </r>
  <r>
    <d v="2024-01-29T00:00:00"/>
    <s v="Brooklyn"/>
    <s v="Member"/>
    <s v="Male"/>
    <s v="Sports &amp; Travel"/>
    <n v="26.67"/>
    <n v="120"/>
    <n v="10"/>
    <s v="Cash"/>
    <n v="8.6"/>
    <n v="93.33"/>
    <n v="18.666"/>
    <s v="Arimoro"/>
    <x v="3"/>
    <s v="AZ"/>
  </r>
  <r>
    <d v="2024-01-29T00:00:00"/>
    <s v="Manhattan"/>
    <s v="Member"/>
    <s v="Female"/>
    <s v="Home &amp; Lifestyle"/>
    <n v="87.37"/>
    <n v="120"/>
    <n v="5"/>
    <s v="Cash"/>
    <n v="6.6"/>
    <n v="32.629999999999995"/>
    <n v="6.5259999999999998"/>
    <s v="Zouma"/>
    <x v="4"/>
    <s v="AZ"/>
  </r>
  <r>
    <d v="2024-01-29T00:00:00"/>
    <s v="Manhattan"/>
    <s v="Normal"/>
    <s v="Male"/>
    <s v="Fashion &amp; Accs"/>
    <n v="83.24"/>
    <n v="120"/>
    <n v="9"/>
    <s v="Credit card"/>
    <n v="7.4"/>
    <n v="36.760000000000005"/>
    <n v="7.3520000000000012"/>
    <s v="Ayeni"/>
    <x v="5"/>
    <s v="NM"/>
  </r>
  <r>
    <d v="2024-01-30T00:00:00"/>
    <s v="Queens"/>
    <s v="Normal"/>
    <s v="Male"/>
    <s v="Home &amp; Lifestyle"/>
    <n v="22.96"/>
    <n v="120"/>
    <n v="1"/>
    <s v="Cash"/>
    <n v="4.3"/>
    <n v="97.039999999999992"/>
    <n v="19.408000000000001"/>
    <s v="Comfort"/>
    <x v="6"/>
    <s v="NM"/>
  </r>
  <r>
    <d v="2024-01-30T00:00:00"/>
    <s v="Brooklyn"/>
    <s v="Normal"/>
    <s v="Female"/>
    <s v="Electronics"/>
    <n v="23.65"/>
    <n v="120"/>
    <n v="4"/>
    <s v="Credit card"/>
    <n v="4"/>
    <n v="96.35"/>
    <n v="19.27"/>
    <s v="Joe"/>
    <x v="7"/>
    <s v="AZ"/>
  </r>
  <r>
    <d v="2024-01-30T00:00:00"/>
    <s v="Manhattan"/>
    <s v="Member"/>
    <s v="Male"/>
    <s v="Electronics"/>
    <n v="93.78"/>
    <n v="120"/>
    <n v="3"/>
    <s v="Credit card"/>
    <n v="5.9"/>
    <n v="26.22"/>
    <n v="5.2439999999999998"/>
    <s v="Ope"/>
    <x v="8"/>
    <s v="CA"/>
  </r>
  <r>
    <d v="2024-01-30T00:00:00"/>
    <s v="Queens"/>
    <s v="Member"/>
    <s v="Female"/>
    <s v="Food &amp; Beverages"/>
    <n v="98.52"/>
    <n v="120"/>
    <n v="10"/>
    <s v="Ewallet"/>
    <n v="4.5"/>
    <n v="21.480000000000004"/>
    <n v="4.2960000000000012"/>
    <s v="Ohio"/>
    <x v="9"/>
    <s v="CO"/>
  </r>
  <r>
    <d v="2024-01-30T00:00:00"/>
    <s v="Queens"/>
    <s v="Normal"/>
    <s v="Female"/>
    <s v="Sports &amp; Travel"/>
    <n v="22.38"/>
    <n v="120"/>
    <n v="1"/>
    <s v="Credit card"/>
    <n v="8.6"/>
    <n v="97.62"/>
    <n v="19.524000000000001"/>
    <s v="Adeleke"/>
    <x v="10"/>
    <s v="AZ"/>
  </r>
  <r>
    <d v="2024-01-30T00:00:00"/>
    <s v="Queens"/>
    <s v="Normal"/>
    <s v="Female"/>
    <s v="Food &amp; Beverages"/>
    <n v="97.03"/>
    <n v="120"/>
    <n v="5"/>
    <s v="Ewallet"/>
    <n v="9.3000000000000007"/>
    <n v="22.97"/>
    <n v="4.5940000000000003"/>
    <s v="Adeleke"/>
    <x v="11"/>
    <s v="CO"/>
  </r>
  <r>
    <d v="2024-01-30T00:00:00"/>
    <s v="Queens"/>
    <s v="Member"/>
    <s v="Female"/>
    <s v="Home &amp; Lifestyle"/>
    <n v="10.53"/>
    <n v="120"/>
    <n v="5"/>
    <s v="Credit card"/>
    <n v="5.8"/>
    <n v="109.47"/>
    <n v="21.894000000000002"/>
    <s v="Omoloye"/>
    <x v="12"/>
    <s v="NY"/>
  </r>
  <r>
    <d v="2024-01-30T00:00:00"/>
    <s v="Queens"/>
    <s v="Normal"/>
    <s v="Male"/>
    <s v="Sports &amp; Travel"/>
    <n v="76.400000000000006"/>
    <n v="120"/>
    <n v="2"/>
    <s v="Ewallet"/>
    <n v="6.5"/>
    <n v="43.599999999999994"/>
    <n v="8.7199999999999989"/>
    <s v="Pearson"/>
    <x v="13"/>
    <s v="MN"/>
  </r>
  <r>
    <d v="2024-01-30T00:00:00"/>
    <s v="Brooklyn"/>
    <s v="Normal"/>
    <s v="Female"/>
    <s v="Electronics"/>
    <n v="42.42"/>
    <n v="120"/>
    <n v="8"/>
    <s v="Ewallet"/>
    <n v="5.7"/>
    <n v="77.58"/>
    <n v="15.516"/>
    <s v="Orenze"/>
    <x v="14"/>
    <s v="MA"/>
  </r>
  <r>
    <d v="2024-01-31T00:00:00"/>
    <s v="Queens"/>
    <s v="Normal"/>
    <s v="Female"/>
    <s v="Sports &amp; Travel"/>
    <n v="23.75"/>
    <n v="120"/>
    <n v="9"/>
    <s v="Cash"/>
    <n v="9.5"/>
    <n v="96.25"/>
    <n v="19.25"/>
    <s v="Amodu"/>
    <x v="15"/>
    <s v="PA"/>
  </r>
  <r>
    <d v="2024-01-31T00:00:00"/>
    <s v="Manhattan"/>
    <s v="Member"/>
    <s v="Male"/>
    <s v="Electronics"/>
    <n v="20.77"/>
    <n v="120"/>
    <n v="4"/>
    <s v="Cash"/>
    <n v="4.7"/>
    <n v="99.23"/>
    <n v="19.846000000000004"/>
    <s v="Olunloyo"/>
    <x v="14"/>
    <s v="MI"/>
  </r>
  <r>
    <d v="2024-01-31T00:00:00"/>
    <s v="Queens"/>
    <s v="Member"/>
    <s v="Male"/>
    <s v="Fashion &amp; Accs"/>
    <n v="98.7"/>
    <n v="120"/>
    <n v="8"/>
    <s v="Ewallet"/>
    <n v="8.5"/>
    <n v="21.299999999999997"/>
    <n v="4.26"/>
    <s v="Ariwodo"/>
    <x v="0"/>
    <s v="KY"/>
  </r>
  <r>
    <d v="2024-01-31T00:00:00"/>
    <s v="Brooklyn"/>
    <s v="Normal"/>
    <s v="Female"/>
    <s v="Electronics"/>
    <n v="43"/>
    <n v="120"/>
    <n v="4"/>
    <s v="Ewallet"/>
    <n v="7.6"/>
    <n v="77"/>
    <n v="15.4"/>
    <s v="Micheal"/>
    <x v="1"/>
    <s v="NM"/>
  </r>
  <r>
    <d v="2024-01-31T00:00:00"/>
    <s v="Brooklyn"/>
    <s v="Normal"/>
    <s v="Male"/>
    <s v="Electronics"/>
    <n v="72.13"/>
    <n v="120"/>
    <n v="10"/>
    <s v="Credit card"/>
    <n v="4.2"/>
    <n v="47.870000000000005"/>
    <n v="9.5740000000000016"/>
    <s v="Olawuyi"/>
    <x v="2"/>
    <s v="CA"/>
  </r>
  <r>
    <d v="2024-01-31T00:00:00"/>
    <s v="Manhattan"/>
    <s v="Member"/>
    <s v="Male"/>
    <s v="Fashion &amp; Accs"/>
    <n v="51.34"/>
    <n v="120"/>
    <n v="8"/>
    <s v="Ewallet"/>
    <n v="7.6"/>
    <n v="68.66"/>
    <n v="13.731999999999999"/>
    <s v="Arimoro"/>
    <x v="3"/>
    <s v="NZ"/>
  </r>
  <r>
    <d v="2024-01-31T00:00:00"/>
    <s v="Brooklyn"/>
    <s v="Member"/>
    <s v="Male"/>
    <s v="Sports &amp; Travel"/>
    <n v="75.819999999999993"/>
    <n v="120"/>
    <n v="1"/>
    <s v="Cash"/>
    <n v="5.8"/>
    <n v="44.180000000000007"/>
    <n v="8.8360000000000021"/>
    <s v="Zouma"/>
    <x v="4"/>
    <s v="AZ"/>
  </r>
  <r>
    <d v="2024-01-31T00:00:00"/>
    <s v="Queens"/>
    <s v="Normal"/>
    <s v="Female"/>
    <s v="Fashion &amp; Accs"/>
    <n v="62.18"/>
    <n v="120"/>
    <n v="10"/>
    <s v="Ewallet"/>
    <n v="6"/>
    <n v="57.82"/>
    <n v="11.564"/>
    <s v="Ayeni"/>
    <x v="5"/>
    <s v="AZ"/>
  </r>
  <r>
    <d v="2024-01-31T00:00:00"/>
    <s v="Queens"/>
    <s v="Member"/>
    <s v="Male"/>
    <s v="Electronics"/>
    <n v="37.06"/>
    <n v="120"/>
    <n v="4"/>
    <s v="Ewallet"/>
    <n v="9.6999999999999993"/>
    <n v="82.94"/>
    <n v="16.588000000000001"/>
    <s v="Comfort"/>
    <x v="6"/>
    <s v="AZ"/>
  </r>
  <r>
    <d v="2024-01-31T00:00:00"/>
    <s v="Brooklyn"/>
    <s v="Member"/>
    <s v="Male"/>
    <s v="Sports &amp; Travel"/>
    <n v="79.930000000000007"/>
    <n v="120"/>
    <n v="6"/>
    <s v="Cash"/>
    <n v="5.5"/>
    <n v="40.069999999999993"/>
    <n v="8.0139999999999993"/>
    <s v="Joe"/>
    <x v="7"/>
    <s v="NM"/>
  </r>
  <r>
    <d v="2024-01-31T00:00:00"/>
    <s v="Brooklyn"/>
    <s v="Member"/>
    <s v="Male"/>
    <s v="Electronics"/>
    <n v="87.87"/>
    <n v="120"/>
    <n v="9"/>
    <s v="Ewallet"/>
    <n v="5.6"/>
    <n v="32.129999999999995"/>
    <n v="6.4259999999999993"/>
    <s v="Ope"/>
    <x v="8"/>
    <s v="NM"/>
  </r>
  <r>
    <d v="2024-01-31T00:00:00"/>
    <s v="Brooklyn"/>
    <s v="Normal"/>
    <s v="Male"/>
    <s v="Fashion &amp; Accs"/>
    <n v="69.08"/>
    <n v="120"/>
    <n v="2"/>
    <s v="Credit card"/>
    <n v="6.9"/>
    <n v="50.92"/>
    <n v="10.184000000000001"/>
    <s v="Ohio"/>
    <x v="9"/>
    <s v="AZ"/>
  </r>
  <r>
    <d v="2024-01-31T00:00:00"/>
    <s v="Brooklyn"/>
    <s v="Normal"/>
    <s v="Male"/>
    <s v="Electronics"/>
    <n v="45.35"/>
    <n v="120"/>
    <n v="6"/>
    <s v="Ewallet"/>
    <n v="6.1"/>
    <n v="74.650000000000006"/>
    <n v="14.930000000000001"/>
    <s v="Adeleke"/>
    <x v="10"/>
    <s v="CA"/>
  </r>
  <r>
    <d v="2024-01-31T00:00:00"/>
    <s v="Manhattan"/>
    <s v="Member"/>
    <s v="Male"/>
    <s v="Electronics"/>
    <n v="66.349999999999994"/>
    <n v="120"/>
    <n v="1"/>
    <s v="Credit card"/>
    <n v="9.6999999999999993"/>
    <n v="53.650000000000006"/>
    <n v="10.730000000000002"/>
    <s v="Adeleke"/>
    <x v="11"/>
    <s v="CO"/>
  </r>
  <r>
    <d v="2024-02-01T00:00:00"/>
    <s v="Queens"/>
    <s v="Member"/>
    <s v="Female"/>
    <s v="Food &amp; Beverages"/>
    <n v="87.48"/>
    <n v="120"/>
    <n v="6"/>
    <s v="Ewallet"/>
    <n v="5.0999999999999996"/>
    <n v="32.519999999999996"/>
    <n v="6.5039999999999996"/>
    <s v="Omoloye"/>
    <x v="12"/>
    <s v="AZ"/>
  </r>
  <r>
    <d v="2024-02-01T00:00:00"/>
    <s v="Manhattan"/>
    <s v="Member"/>
    <s v="Female"/>
    <s v="Food &amp; Beverages"/>
    <n v="14.23"/>
    <n v="120"/>
    <n v="5"/>
    <s v="Credit card"/>
    <n v="4.4000000000000004"/>
    <n v="105.77"/>
    <n v="21.154"/>
    <s v="Pearson"/>
    <x v="13"/>
    <s v="CO"/>
  </r>
  <r>
    <d v="2024-02-01T00:00:00"/>
    <s v="Manhattan"/>
    <s v="Member"/>
    <s v="Male"/>
    <s v="Sports &amp; Travel"/>
    <n v="69.52"/>
    <n v="120"/>
    <n v="7"/>
    <s v="Credit card"/>
    <n v="8.5"/>
    <n v="50.480000000000004"/>
    <n v="10.096000000000002"/>
    <s v="Orenze"/>
    <x v="14"/>
    <s v="NY"/>
  </r>
  <r>
    <d v="2024-02-01T00:00:00"/>
    <s v="Queens"/>
    <s v="Normal"/>
    <s v="Female"/>
    <s v="Electronics"/>
    <n v="23.07"/>
    <n v="120"/>
    <n v="9"/>
    <s v="Cash"/>
    <n v="4.9000000000000004"/>
    <n v="96.93"/>
    <n v="19.386000000000003"/>
    <s v="Amodu"/>
    <x v="15"/>
    <s v="MN"/>
  </r>
  <r>
    <d v="2024-02-01T00:00:00"/>
    <s v="Queens"/>
    <s v="Member"/>
    <s v="Female"/>
    <s v="Home &amp; Lifestyle"/>
    <n v="80.790000000000006"/>
    <n v="120"/>
    <n v="9"/>
    <s v="Credit card"/>
    <n v="9.5"/>
    <n v="39.209999999999994"/>
    <n v="7.8419999999999987"/>
    <s v="Olunloyo"/>
    <x v="14"/>
    <s v="MA"/>
  </r>
  <r>
    <d v="2024-02-01T00:00:00"/>
    <s v="Manhattan"/>
    <s v="Member"/>
    <s v="Female"/>
    <s v="Health &amp; Beauty"/>
    <n v="77.680000000000007"/>
    <n v="120"/>
    <n v="4"/>
    <s v="Cash"/>
    <n v="8.4"/>
    <n v="42.319999999999993"/>
    <n v="8.4639999999999986"/>
    <s v="Ariwodo"/>
    <x v="0"/>
    <s v="PA"/>
  </r>
  <r>
    <d v="2024-02-02T00:00:00"/>
    <s v="Brooklyn"/>
    <s v="Member"/>
    <s v="Female"/>
    <s v="Electronics"/>
    <n v="26.26"/>
    <n v="120"/>
    <n v="7"/>
    <s v="Cash"/>
    <n v="9.9"/>
    <n v="93.74"/>
    <n v="18.748000000000001"/>
    <s v="Micheal"/>
    <x v="1"/>
    <s v="MI"/>
  </r>
  <r>
    <d v="2024-02-02T00:00:00"/>
    <s v="Manhattan"/>
    <s v="Member"/>
    <s v="Male"/>
    <s v="Fashion &amp; Accs"/>
    <n v="43.13"/>
    <n v="120"/>
    <n v="10"/>
    <s v="Credit card"/>
    <n v="5.5"/>
    <n v="76.87"/>
    <n v="15.374000000000002"/>
    <s v="Olawuyi"/>
    <x v="2"/>
    <s v="KY"/>
  </r>
  <r>
    <d v="2024-02-02T00:00:00"/>
    <s v="Brooklyn"/>
    <s v="Normal"/>
    <s v="Female"/>
    <s v="Fashion &amp; Accs"/>
    <n v="25.56"/>
    <n v="120"/>
    <n v="7"/>
    <s v="Cash"/>
    <n v="7.1"/>
    <n v="94.44"/>
    <n v="18.888000000000002"/>
    <s v="Arimoro"/>
    <x v="3"/>
    <s v="NM"/>
  </r>
  <r>
    <d v="2024-02-02T00:00:00"/>
    <s v="Queens"/>
    <s v="Member"/>
    <s v="Female"/>
    <s v="Food &amp; Beverages"/>
    <n v="38.42"/>
    <n v="120"/>
    <n v="1"/>
    <s v="Cash"/>
    <n v="8.6"/>
    <n v="81.58"/>
    <n v="16.315999999999999"/>
    <s v="Zouma"/>
    <x v="4"/>
    <s v="CA"/>
  </r>
  <r>
    <d v="2024-02-02T00:00:00"/>
    <s v="Queens"/>
    <s v="Normal"/>
    <s v="Male"/>
    <s v="Food &amp; Beverages"/>
    <n v="65.97"/>
    <n v="120"/>
    <n v="8"/>
    <s v="Cash"/>
    <n v="8.4"/>
    <n v="54.03"/>
    <n v="10.806000000000001"/>
    <s v="Ayeni"/>
    <x v="5"/>
    <s v="NZ"/>
  </r>
  <r>
    <d v="2024-02-02T00:00:00"/>
    <s v="Manhattan"/>
    <s v="Member"/>
    <s v="Female"/>
    <s v="Sports &amp; Travel"/>
    <n v="51.52"/>
    <n v="120"/>
    <n v="8"/>
    <s v="Cash"/>
    <n v="9.6"/>
    <n v="68.47999999999999"/>
    <n v="13.695999999999998"/>
    <s v="Comfort"/>
    <x v="6"/>
    <s v="AZ"/>
  </r>
  <r>
    <d v="2024-02-02T00:00:00"/>
    <s v="Queens"/>
    <s v="Normal"/>
    <s v="Female"/>
    <s v="Electronics"/>
    <n v="35.49"/>
    <n v="120"/>
    <n v="6"/>
    <s v="Cash"/>
    <n v="4.0999999999999996"/>
    <n v="84.509999999999991"/>
    <n v="16.901999999999997"/>
    <s v="Joe"/>
    <x v="7"/>
    <s v="AZ"/>
  </r>
  <r>
    <d v="2024-02-02T00:00:00"/>
    <s v="Queens"/>
    <s v="Member"/>
    <s v="Female"/>
    <s v="Fashion &amp; Accs"/>
    <n v="83.35"/>
    <n v="120"/>
    <n v="2"/>
    <s v="Credit card"/>
    <n v="9.5"/>
    <n v="36.650000000000006"/>
    <n v="7.3300000000000018"/>
    <s v="Ope"/>
    <x v="8"/>
    <s v="AZ"/>
  </r>
  <r>
    <d v="2024-02-02T00:00:00"/>
    <s v="Queens"/>
    <s v="Member"/>
    <s v="Male"/>
    <s v="Home &amp; Lifestyle"/>
    <n v="56.11"/>
    <n v="120"/>
    <n v="2"/>
    <s v="Cash"/>
    <n v="6.3"/>
    <n v="63.89"/>
    <n v="12.778"/>
    <s v="Ohio"/>
    <x v="9"/>
    <s v="NM"/>
  </r>
  <r>
    <d v="2024-02-02T00:00:00"/>
    <s v="Brooklyn"/>
    <s v="Member"/>
    <s v="Male"/>
    <s v="Food &amp; Beverages"/>
    <n v="46.55"/>
    <n v="120"/>
    <n v="9"/>
    <s v="Ewallet"/>
    <n v="6.4"/>
    <n v="73.45"/>
    <n v="14.690000000000001"/>
    <s v="Adeleke"/>
    <x v="10"/>
    <s v="NM"/>
  </r>
  <r>
    <d v="2024-02-02T00:00:00"/>
    <s v="Brooklyn"/>
    <s v="Normal"/>
    <s v="Male"/>
    <s v="Home &amp; Lifestyle"/>
    <n v="93.87"/>
    <n v="120"/>
    <n v="8"/>
    <s v="Credit card"/>
    <n v="8.3000000000000007"/>
    <n v="26.129999999999995"/>
    <n v="5.2259999999999991"/>
    <s v="Adeleke"/>
    <x v="11"/>
    <s v="AZ"/>
  </r>
  <r>
    <d v="2024-02-02T00:00:00"/>
    <s v="Manhattan"/>
    <s v="Normal"/>
    <s v="Female"/>
    <s v="Food &amp; Beverages"/>
    <n v="10.96"/>
    <n v="120"/>
    <n v="10"/>
    <s v="Ewallet"/>
    <n v="6"/>
    <n v="109.03999999999999"/>
    <n v="21.808"/>
    <s v="Omoloye"/>
    <x v="12"/>
    <s v="CA"/>
  </r>
  <r>
    <d v="2024-02-02T00:00:00"/>
    <s v="Queens"/>
    <s v="Normal"/>
    <s v="Female"/>
    <s v="Fashion &amp; Accs"/>
    <n v="95.42"/>
    <n v="120"/>
    <n v="4"/>
    <s v="Ewallet"/>
    <n v="6.4"/>
    <n v="24.58"/>
    <n v="4.9160000000000004"/>
    <s v="Pearson"/>
    <x v="13"/>
    <s v="CO"/>
  </r>
  <r>
    <d v="2024-02-02T00:00:00"/>
    <s v="Manhattan"/>
    <s v="Member"/>
    <s v="Female"/>
    <s v="Health &amp; Beauty"/>
    <n v="18.329999999999998"/>
    <n v="120"/>
    <n v="1"/>
    <s v="Cash"/>
    <n v="4.3"/>
    <n v="101.67"/>
    <n v="20.334000000000003"/>
    <s v="Orenze"/>
    <x v="14"/>
    <s v="AZ"/>
  </r>
  <r>
    <d v="2024-02-03T00:00:00"/>
    <s v="Manhattan"/>
    <s v="Normal"/>
    <s v="Female"/>
    <s v="Food &amp; Beverages"/>
    <n v="27.28"/>
    <n v="120"/>
    <n v="5"/>
    <s v="Credit card"/>
    <n v="8.6"/>
    <n v="92.72"/>
    <n v="18.544"/>
    <s v="Amodu"/>
    <x v="15"/>
    <s v="CO"/>
  </r>
  <r>
    <d v="2024-02-03T00:00:00"/>
    <s v="Brooklyn"/>
    <s v="Member"/>
    <s v="Male"/>
    <s v="Food &amp; Beverages"/>
    <n v="47.16"/>
    <n v="120"/>
    <n v="5"/>
    <s v="Credit card"/>
    <n v="6"/>
    <n v="72.84"/>
    <n v="14.568000000000001"/>
    <s v="Olunloyo"/>
    <x v="14"/>
    <s v="NY"/>
  </r>
  <r>
    <d v="2024-02-03T00:00:00"/>
    <s v="Manhattan"/>
    <s v="Member"/>
    <s v="Female"/>
    <s v="Home &amp; Lifestyle"/>
    <n v="94.88"/>
    <n v="120"/>
    <n v="7"/>
    <s v="Cash"/>
    <n v="4.2"/>
    <n v="25.120000000000005"/>
    <n v="5.0240000000000009"/>
    <s v="Ariwodo"/>
    <x v="0"/>
    <s v="MN"/>
  </r>
  <r>
    <d v="2024-02-03T00:00:00"/>
    <s v="Queens"/>
    <s v="Member"/>
    <s v="Male"/>
    <s v="Food &amp; Beverages"/>
    <n v="91.4"/>
    <n v="120"/>
    <n v="7"/>
    <s v="Cash"/>
    <n v="9.5"/>
    <n v="28.599999999999994"/>
    <n v="5.7199999999999989"/>
    <s v="Micheal"/>
    <x v="1"/>
    <s v="MA"/>
  </r>
  <r>
    <d v="2024-02-03T00:00:00"/>
    <s v="Brooklyn"/>
    <s v="Member"/>
    <s v="Female"/>
    <s v="Sports &amp; Travel"/>
    <n v="55.07"/>
    <n v="120"/>
    <n v="9"/>
    <s v="Ewallet"/>
    <n v="10"/>
    <n v="64.930000000000007"/>
    <n v="12.986000000000002"/>
    <s v="Olawuyi"/>
    <x v="2"/>
    <s v="PA"/>
  </r>
  <r>
    <d v="2024-02-03T00:00:00"/>
    <s v="Brooklyn"/>
    <s v="Normal"/>
    <s v="Female"/>
    <s v="Sports &amp; Travel"/>
    <n v="42.97"/>
    <n v="120"/>
    <n v="3"/>
    <s v="Cash"/>
    <n v="9.3000000000000007"/>
    <n v="77.03"/>
    <n v="15.406000000000001"/>
    <s v="Arimoro"/>
    <x v="3"/>
    <s v="MI"/>
  </r>
  <r>
    <d v="2024-02-03T00:00:00"/>
    <s v="Manhattan"/>
    <s v="Member"/>
    <s v="Male"/>
    <s v="Home &amp; Lifestyle"/>
    <n v="72.78"/>
    <n v="120"/>
    <n v="10"/>
    <s v="Cash"/>
    <n v="7.3"/>
    <n v="47.22"/>
    <n v="9.4440000000000008"/>
    <s v="Zouma"/>
    <x v="4"/>
    <s v="KY"/>
  </r>
  <r>
    <d v="2024-02-03T00:00:00"/>
    <s v="Brooklyn"/>
    <s v="Member"/>
    <s v="Male"/>
    <s v="Fashion &amp; Accs"/>
    <n v="53.78"/>
    <n v="120"/>
    <n v="1"/>
    <s v="Ewallet"/>
    <n v="4.7"/>
    <n v="66.22"/>
    <n v="13.244"/>
    <s v="Ayeni"/>
    <x v="5"/>
    <s v="NM"/>
  </r>
  <r>
    <d v="2024-02-03T00:00:00"/>
    <s v="Manhattan"/>
    <s v="Normal"/>
    <s v="Male"/>
    <s v="Fashion &amp; Accs"/>
    <n v="77.02"/>
    <n v="120"/>
    <n v="5"/>
    <s v="Cash"/>
    <n v="5.5"/>
    <n v="42.980000000000004"/>
    <n v="8.5960000000000019"/>
    <s v="Comfort"/>
    <x v="6"/>
    <s v="CA"/>
  </r>
  <r>
    <d v="2024-02-03T00:00:00"/>
    <s v="Manhattan"/>
    <s v="Member"/>
    <s v="Male"/>
    <s v="Food &amp; Beverages"/>
    <n v="67.45"/>
    <n v="120"/>
    <n v="10"/>
    <s v="Ewallet"/>
    <n v="4.2"/>
    <n v="52.55"/>
    <n v="10.51"/>
    <s v="Joe"/>
    <x v="7"/>
    <s v="NZ"/>
  </r>
  <r>
    <d v="2024-02-03T00:00:00"/>
    <s v="Queens"/>
    <s v="Normal"/>
    <s v="Male"/>
    <s v="Food &amp; Beverages"/>
    <n v="40.520000000000003"/>
    <n v="120"/>
    <n v="5"/>
    <s v="Cash"/>
    <n v="4.5"/>
    <n v="79.47999999999999"/>
    <n v="15.895999999999999"/>
    <s v="Ope"/>
    <x v="8"/>
    <s v="AZ"/>
  </r>
  <r>
    <d v="2024-02-03T00:00:00"/>
    <s v="Queens"/>
    <s v="Normal"/>
    <s v="Female"/>
    <s v="Sports &amp; Travel"/>
    <n v="73.95"/>
    <n v="120"/>
    <n v="4"/>
    <s v="Cash"/>
    <n v="6.1"/>
    <n v="46.05"/>
    <n v="9.2099999999999991"/>
    <s v="Ohio"/>
    <x v="9"/>
    <s v="AZ"/>
  </r>
  <r>
    <d v="2024-02-03T00:00:00"/>
    <s v="Queens"/>
    <s v="Normal"/>
    <s v="Female"/>
    <s v="Sports &amp; Travel"/>
    <n v="49.33"/>
    <n v="120"/>
    <n v="10"/>
    <s v="Credit card"/>
    <n v="9.4"/>
    <n v="70.67"/>
    <n v="14.134"/>
    <s v="Adeleke"/>
    <x v="10"/>
    <s v="AZ"/>
  </r>
  <r>
    <d v="2024-02-03T00:00:00"/>
    <s v="Brooklyn"/>
    <s v="Member"/>
    <s v="Male"/>
    <s v="Sports &amp; Travel"/>
    <n v="73.97"/>
    <n v="120"/>
    <n v="1"/>
    <s v="Credit card"/>
    <n v="5.4"/>
    <n v="46.03"/>
    <n v="9.2060000000000013"/>
    <s v="Adeleke"/>
    <x v="11"/>
    <s v="NM"/>
  </r>
  <r>
    <d v="2024-02-04T00:00:00"/>
    <s v="Queens"/>
    <s v="Normal"/>
    <s v="Female"/>
    <s v="Health &amp; Beauty"/>
    <n v="13.85"/>
    <n v="120"/>
    <n v="9"/>
    <s v="Ewallet"/>
    <n v="6"/>
    <n v="106.15"/>
    <n v="21.230000000000004"/>
    <s v="Omoloye"/>
    <x v="12"/>
    <s v="NM"/>
  </r>
  <r>
    <d v="2024-02-04T00:00:00"/>
    <s v="Manhattan"/>
    <s v="Member"/>
    <s v="Female"/>
    <s v="Electronics"/>
    <n v="25.22"/>
    <n v="120"/>
    <n v="7"/>
    <s v="Cash"/>
    <n v="8.1999999999999993"/>
    <n v="94.78"/>
    <n v="18.956"/>
    <s v="Pearson"/>
    <x v="13"/>
    <s v="AZ"/>
  </r>
  <r>
    <d v="2024-02-04T00:00:00"/>
    <s v="Brooklyn"/>
    <s v="Normal"/>
    <s v="Female"/>
    <s v="Food &amp; Beverages"/>
    <n v="67.77"/>
    <n v="120"/>
    <n v="1"/>
    <s v="Credit card"/>
    <n v="6.5"/>
    <n v="52.230000000000004"/>
    <n v="10.446000000000002"/>
    <s v="Orenze"/>
    <x v="14"/>
    <s v="CA"/>
  </r>
  <r>
    <d v="2024-02-04T00:00:00"/>
    <s v="Brooklyn"/>
    <s v="Member"/>
    <s v="Male"/>
    <s v="Food &amp; Beverages"/>
    <n v="23.34"/>
    <n v="120"/>
    <n v="4"/>
    <s v="Ewallet"/>
    <n v="7.4"/>
    <n v="96.66"/>
    <n v="19.332000000000001"/>
    <s v="Amodu"/>
    <x v="15"/>
    <s v="CO"/>
  </r>
  <r>
    <d v="2024-02-04T00:00:00"/>
    <s v="Queens"/>
    <s v="Member"/>
    <s v="Male"/>
    <s v="Home &amp; Lifestyle"/>
    <n v="13.98"/>
    <n v="120"/>
    <n v="1"/>
    <s v="Ewallet"/>
    <n v="9.8000000000000007"/>
    <n v="106.02"/>
    <n v="21.204000000000001"/>
    <s v="Olunloyo"/>
    <x v="14"/>
    <s v="AZ"/>
  </r>
  <r>
    <d v="2024-02-04T00:00:00"/>
    <s v="Manhattan"/>
    <s v="Member"/>
    <s v="Male"/>
    <s v="Electronics"/>
    <n v="71.95"/>
    <n v="120"/>
    <n v="1"/>
    <s v="Cash"/>
    <n v="7.3"/>
    <n v="48.05"/>
    <n v="9.61"/>
    <s v="Ariwodo"/>
    <x v="0"/>
    <s v="CO"/>
  </r>
  <r>
    <d v="2024-02-04T00:00:00"/>
    <s v="Manhattan"/>
    <s v="Normal"/>
    <s v="Female"/>
    <s v="Sports &amp; Travel"/>
    <n v="43.06"/>
    <n v="120"/>
    <n v="5"/>
    <s v="Ewallet"/>
    <n v="7.7"/>
    <n v="76.94"/>
    <n v="15.388"/>
    <s v="Micheal"/>
    <x v="1"/>
    <s v="NY"/>
  </r>
  <r>
    <d v="2024-02-04T00:00:00"/>
    <s v="Manhattan"/>
    <s v="Normal"/>
    <s v="Male"/>
    <s v="Electronics"/>
    <n v="74.58"/>
    <n v="120"/>
    <n v="7"/>
    <s v="Credit card"/>
    <n v="9"/>
    <n v="45.42"/>
    <n v="9.0840000000000014"/>
    <s v="Olawuyi"/>
    <x v="2"/>
    <s v="MN"/>
  </r>
  <r>
    <d v="2024-02-04T00:00:00"/>
    <s v="Brooklyn"/>
    <s v="Member"/>
    <s v="Female"/>
    <s v="Fashion &amp; Accs"/>
    <n v="72.040000000000006"/>
    <n v="120"/>
    <n v="2"/>
    <s v="Cash"/>
    <n v="9.5"/>
    <n v="47.959999999999994"/>
    <n v="9.5919999999999987"/>
    <s v="Arimoro"/>
    <x v="3"/>
    <s v="MA"/>
  </r>
  <r>
    <d v="2024-02-04T00:00:00"/>
    <s v="Manhattan"/>
    <s v="Normal"/>
    <s v="Female"/>
    <s v="Fashion &amp; Accs"/>
    <n v="48.63"/>
    <n v="120"/>
    <n v="4"/>
    <s v="Ewallet"/>
    <n v="7.6"/>
    <n v="71.37"/>
    <n v="14.274000000000001"/>
    <s v="Zouma"/>
    <x v="4"/>
    <s v="PA"/>
  </r>
  <r>
    <d v="2024-02-04T00:00:00"/>
    <s v="Brooklyn"/>
    <s v="Member"/>
    <s v="Female"/>
    <s v="Home &amp; Lifestyle"/>
    <n v="77.680000000000007"/>
    <n v="120"/>
    <n v="9"/>
    <s v="Ewallet"/>
    <n v="9.8000000000000007"/>
    <n v="42.319999999999993"/>
    <n v="8.4639999999999986"/>
    <s v="Ayeni"/>
    <x v="5"/>
    <s v="MI"/>
  </r>
  <r>
    <d v="2024-02-05T00:00:00"/>
    <s v="Manhattan"/>
    <s v="Member"/>
    <s v="Female"/>
    <s v="Fashion &amp; Accs"/>
    <n v="30.62"/>
    <n v="120"/>
    <n v="1"/>
    <s v="Credit card"/>
    <n v="4.0999999999999996"/>
    <n v="89.38"/>
    <n v="17.876000000000001"/>
    <s v="Comfort"/>
    <x v="6"/>
    <s v="KY"/>
  </r>
  <r>
    <d v="2024-02-05T00:00:00"/>
    <s v="Brooklyn"/>
    <s v="Member"/>
    <s v="Female"/>
    <s v="Food &amp; Beverages"/>
    <n v="42.82"/>
    <n v="120"/>
    <n v="9"/>
    <s v="Credit card"/>
    <n v="8.9"/>
    <n v="77.180000000000007"/>
    <n v="15.436000000000002"/>
    <s v="Joe"/>
    <x v="7"/>
    <s v="N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0" firstHeaderRow="1" firstDataRow="1" firstDataCol="1"/>
  <pivotFields count="15">
    <pivotField numFmtId="14" showAll="0"/>
    <pivotField showAll="0"/>
    <pivotField showAll="0"/>
    <pivotField showAll="0"/>
    <pivotField showAll="0"/>
    <pivotField numFmtId="44" showAll="0"/>
    <pivotField dataField="1" numFmtId="44" showAll="0"/>
    <pivotField showAll="0"/>
    <pivotField showAll="0"/>
    <pivotField showAll="0"/>
    <pivotField numFmtId="44" showAll="0"/>
    <pivotField numFmtId="44" showAll="0"/>
    <pivotField showAll="0"/>
    <pivotField axis="axisRow" showAll="0">
      <items count="17">
        <item x="3"/>
        <item x="12"/>
        <item x="9"/>
        <item x="5"/>
        <item x="8"/>
        <item x="10"/>
        <item x="1"/>
        <item x="11"/>
        <item x="6"/>
        <item x="4"/>
        <item x="13"/>
        <item x="7"/>
        <item x="14"/>
        <item x="0"/>
        <item x="15"/>
        <item x="2"/>
        <item t="default"/>
      </items>
    </pivotField>
    <pivotField showAll="0"/>
  </pivotFields>
  <rowFields count="1">
    <field x="1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Price" fld="6" baseField="0" baseItem="0" numFmtId="44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1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="70" zoomScaleNormal="70" workbookViewId="0">
      <selection activeCell="O10" sqref="O10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t="s">
        <v>80</v>
      </c>
    </row>
    <row r="3" spans="1:2" x14ac:dyDescent="0.25">
      <c r="A3" s="4" t="s">
        <v>78</v>
      </c>
      <c r="B3" s="3" t="s">
        <v>77</v>
      </c>
    </row>
    <row r="4" spans="1:2" x14ac:dyDescent="0.25">
      <c r="A4" s="5" t="s">
        <v>46</v>
      </c>
      <c r="B4" s="3">
        <v>2880</v>
      </c>
    </row>
    <row r="5" spans="1:2" x14ac:dyDescent="0.25">
      <c r="A5" s="5" t="s">
        <v>63</v>
      </c>
      <c r="B5" s="3">
        <v>2760</v>
      </c>
    </row>
    <row r="6" spans="1:2" x14ac:dyDescent="0.25">
      <c r="A6" s="5" t="s">
        <v>58</v>
      </c>
      <c r="B6" s="3">
        <v>2760</v>
      </c>
    </row>
    <row r="7" spans="1:2" x14ac:dyDescent="0.25">
      <c r="A7" s="5" t="s">
        <v>50</v>
      </c>
      <c r="B7" s="3">
        <v>2880</v>
      </c>
    </row>
    <row r="8" spans="1:2" x14ac:dyDescent="0.25">
      <c r="A8" s="5" t="s">
        <v>56</v>
      </c>
      <c r="B8" s="3">
        <v>2760</v>
      </c>
    </row>
    <row r="9" spans="1:2" x14ac:dyDescent="0.25">
      <c r="A9" s="5" t="s">
        <v>60</v>
      </c>
      <c r="B9" s="3">
        <v>2760</v>
      </c>
    </row>
    <row r="10" spans="1:2" x14ac:dyDescent="0.25">
      <c r="A10" s="5" t="s">
        <v>42</v>
      </c>
      <c r="B10" s="3">
        <v>2880</v>
      </c>
    </row>
    <row r="11" spans="1:2" x14ac:dyDescent="0.25">
      <c r="A11" s="5" t="s">
        <v>61</v>
      </c>
      <c r="B11" s="3">
        <v>2760</v>
      </c>
    </row>
    <row r="12" spans="1:2" x14ac:dyDescent="0.25">
      <c r="A12" s="5" t="s">
        <v>52</v>
      </c>
      <c r="B12" s="3">
        <v>2880</v>
      </c>
    </row>
    <row r="13" spans="1:2" x14ac:dyDescent="0.25">
      <c r="A13" s="5" t="s">
        <v>48</v>
      </c>
      <c r="B13" s="3">
        <v>2880</v>
      </c>
    </row>
    <row r="14" spans="1:2" x14ac:dyDescent="0.25">
      <c r="A14" s="5" t="s">
        <v>65</v>
      </c>
      <c r="B14" s="3">
        <v>2760</v>
      </c>
    </row>
    <row r="15" spans="1:2" x14ac:dyDescent="0.25">
      <c r="A15" s="5" t="s">
        <v>54</v>
      </c>
      <c r="B15" s="3">
        <v>2880</v>
      </c>
    </row>
    <row r="16" spans="1:2" x14ac:dyDescent="0.25">
      <c r="A16" s="5" t="s">
        <v>67</v>
      </c>
      <c r="B16" s="3">
        <v>5520</v>
      </c>
    </row>
    <row r="17" spans="1:2" x14ac:dyDescent="0.25">
      <c r="A17" s="5" t="s">
        <v>40</v>
      </c>
      <c r="B17" s="3">
        <v>2880</v>
      </c>
    </row>
    <row r="18" spans="1:2" x14ac:dyDescent="0.25">
      <c r="A18" s="5" t="s">
        <v>69</v>
      </c>
      <c r="B18" s="3">
        <v>2760</v>
      </c>
    </row>
    <row r="19" spans="1:2" x14ac:dyDescent="0.25">
      <c r="A19" s="5" t="s">
        <v>44</v>
      </c>
      <c r="B19" s="3">
        <v>2880</v>
      </c>
    </row>
    <row r="20" spans="1:2" x14ac:dyDescent="0.25">
      <c r="A20" s="5" t="s">
        <v>79</v>
      </c>
      <c r="B20" s="3">
        <v>47880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5"/>
  <sheetViews>
    <sheetView tabSelected="1" zoomScale="85" zoomScaleNormal="85" workbookViewId="0">
      <selection activeCell="Q7" sqref="Q7"/>
    </sheetView>
  </sheetViews>
  <sheetFormatPr defaultRowHeight="15" x14ac:dyDescent="0.25"/>
  <cols>
    <col min="1" max="1" width="13.28515625" customWidth="1"/>
    <col min="2" max="2" width="14.42578125" customWidth="1"/>
    <col min="3" max="3" width="18" customWidth="1"/>
    <col min="4" max="4" width="14.42578125" customWidth="1"/>
    <col min="5" max="5" width="17.85546875" customWidth="1"/>
    <col min="7" max="7" width="11.5703125" style="2" bestFit="1" customWidth="1"/>
    <col min="9" max="9" width="18.28515625" customWidth="1"/>
    <col min="12" max="12" width="9.140625" style="2"/>
    <col min="13" max="13" width="10.85546875" customWidth="1"/>
    <col min="14" max="14" width="12.140625" customWidth="1"/>
    <col min="15" max="15" width="12.7109375" customWidth="1"/>
  </cols>
  <sheetData>
    <row r="1" spans="1:15" s="8" customFormat="1" ht="177.75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73</v>
      </c>
      <c r="H1" s="7" t="s">
        <v>6</v>
      </c>
      <c r="I1" s="7" t="s">
        <v>7</v>
      </c>
      <c r="J1" s="7" t="s">
        <v>8</v>
      </c>
      <c r="K1" s="7" t="s">
        <v>9</v>
      </c>
      <c r="L1" s="6" t="s">
        <v>10</v>
      </c>
      <c r="M1" s="7" t="s">
        <v>71</v>
      </c>
      <c r="N1" s="8" t="s">
        <v>72</v>
      </c>
      <c r="O1" s="7" t="s">
        <v>27</v>
      </c>
    </row>
    <row r="2" spans="1:15" x14ac:dyDescent="0.25">
      <c r="A2" s="1">
        <v>45292</v>
      </c>
      <c r="B2" t="s">
        <v>11</v>
      </c>
      <c r="C2" t="s">
        <v>12</v>
      </c>
      <c r="D2" t="s">
        <v>13</v>
      </c>
      <c r="E2" t="s">
        <v>14</v>
      </c>
      <c r="F2" s="2">
        <v>84.63</v>
      </c>
      <c r="G2" s="2">
        <v>120</v>
      </c>
      <c r="H2">
        <v>10</v>
      </c>
      <c r="I2" t="s">
        <v>15</v>
      </c>
      <c r="J2">
        <v>9</v>
      </c>
      <c r="K2" s="3">
        <f t="shared" ref="K2:K65" si="0">G2-F2</f>
        <v>35.370000000000005</v>
      </c>
      <c r="L2" s="2">
        <f t="shared" ref="L2:L65" si="1">IF(G2&gt;30,K2*0.2,G2*0.1)</f>
        <v>7.0740000000000016</v>
      </c>
      <c r="M2" t="s">
        <v>39</v>
      </c>
      <c r="N2" t="s">
        <v>40</v>
      </c>
      <c r="O2" t="s">
        <v>28</v>
      </c>
    </row>
    <row r="3" spans="1:15" x14ac:dyDescent="0.25">
      <c r="A3" s="1">
        <v>45292</v>
      </c>
      <c r="B3" t="s">
        <v>16</v>
      </c>
      <c r="C3" t="s">
        <v>17</v>
      </c>
      <c r="D3" t="s">
        <v>13</v>
      </c>
      <c r="E3" t="s">
        <v>18</v>
      </c>
      <c r="F3" s="2">
        <v>63.22</v>
      </c>
      <c r="G3" s="2">
        <v>120</v>
      </c>
      <c r="H3">
        <v>2</v>
      </c>
      <c r="I3" t="s">
        <v>19</v>
      </c>
      <c r="J3">
        <v>8.5</v>
      </c>
      <c r="K3" s="3">
        <f t="shared" si="0"/>
        <v>56.78</v>
      </c>
      <c r="L3" s="2">
        <f t="shared" si="1"/>
        <v>11.356000000000002</v>
      </c>
      <c r="M3" t="s">
        <v>41</v>
      </c>
      <c r="N3" t="s">
        <v>42</v>
      </c>
      <c r="O3" t="s">
        <v>29</v>
      </c>
    </row>
    <row r="4" spans="1:15" x14ac:dyDescent="0.25">
      <c r="A4" s="1">
        <v>45292</v>
      </c>
      <c r="B4" t="s">
        <v>11</v>
      </c>
      <c r="C4" t="s">
        <v>17</v>
      </c>
      <c r="D4" t="s">
        <v>13</v>
      </c>
      <c r="E4" t="s">
        <v>18</v>
      </c>
      <c r="F4" s="2">
        <v>74.709999999999994</v>
      </c>
      <c r="G4" s="2">
        <v>120</v>
      </c>
      <c r="H4">
        <v>6</v>
      </c>
      <c r="I4" t="s">
        <v>19</v>
      </c>
      <c r="J4">
        <v>6.7</v>
      </c>
      <c r="K4" s="3">
        <f t="shared" si="0"/>
        <v>45.290000000000006</v>
      </c>
      <c r="L4" s="2">
        <f t="shared" si="1"/>
        <v>9.0580000000000016</v>
      </c>
      <c r="M4" t="s">
        <v>43</v>
      </c>
      <c r="N4" t="s">
        <v>44</v>
      </c>
      <c r="O4" t="s">
        <v>30</v>
      </c>
    </row>
    <row r="5" spans="1:15" x14ac:dyDescent="0.25">
      <c r="A5" s="1">
        <v>45292</v>
      </c>
      <c r="B5" t="s">
        <v>16</v>
      </c>
      <c r="C5" t="s">
        <v>12</v>
      </c>
      <c r="D5" t="s">
        <v>13</v>
      </c>
      <c r="E5" t="s">
        <v>20</v>
      </c>
      <c r="F5" s="2">
        <v>36.979999999999997</v>
      </c>
      <c r="G5" s="2">
        <v>120</v>
      </c>
      <c r="H5">
        <v>10</v>
      </c>
      <c r="I5" t="s">
        <v>15</v>
      </c>
      <c r="J5">
        <v>7</v>
      </c>
      <c r="K5" s="3">
        <f t="shared" si="0"/>
        <v>83.02000000000001</v>
      </c>
      <c r="L5" s="2">
        <f t="shared" si="1"/>
        <v>16.604000000000003</v>
      </c>
      <c r="M5" t="s">
        <v>45</v>
      </c>
      <c r="N5" t="s">
        <v>46</v>
      </c>
      <c r="O5" t="s">
        <v>31</v>
      </c>
    </row>
    <row r="6" spans="1:15" x14ac:dyDescent="0.25">
      <c r="A6" s="1">
        <v>45292</v>
      </c>
      <c r="B6" t="s">
        <v>21</v>
      </c>
      <c r="C6" t="s">
        <v>12</v>
      </c>
      <c r="D6" t="s">
        <v>13</v>
      </c>
      <c r="E6" t="s">
        <v>20</v>
      </c>
      <c r="F6" s="2">
        <v>27.04</v>
      </c>
      <c r="G6" s="2">
        <v>120</v>
      </c>
      <c r="H6">
        <v>4</v>
      </c>
      <c r="I6" t="s">
        <v>22</v>
      </c>
      <c r="J6">
        <v>6.9</v>
      </c>
      <c r="K6" s="3">
        <f t="shared" si="0"/>
        <v>92.960000000000008</v>
      </c>
      <c r="L6" s="2">
        <f t="shared" si="1"/>
        <v>18.592000000000002</v>
      </c>
      <c r="M6" t="s">
        <v>47</v>
      </c>
      <c r="N6" t="s">
        <v>48</v>
      </c>
      <c r="O6" t="s">
        <v>31</v>
      </c>
    </row>
    <row r="7" spans="1:15" x14ac:dyDescent="0.25">
      <c r="A7" s="1">
        <v>45292</v>
      </c>
      <c r="B7" t="s">
        <v>21</v>
      </c>
      <c r="C7" t="s">
        <v>17</v>
      </c>
      <c r="D7" t="s">
        <v>13</v>
      </c>
      <c r="E7" t="s">
        <v>23</v>
      </c>
      <c r="F7" s="2">
        <v>65.739999999999995</v>
      </c>
      <c r="G7" s="2">
        <v>120</v>
      </c>
      <c r="H7">
        <v>9</v>
      </c>
      <c r="I7" t="s">
        <v>19</v>
      </c>
      <c r="J7">
        <v>7.7</v>
      </c>
      <c r="K7" s="3">
        <f t="shared" si="0"/>
        <v>54.260000000000005</v>
      </c>
      <c r="L7" s="2">
        <f t="shared" si="1"/>
        <v>10.852000000000002</v>
      </c>
      <c r="M7" t="s">
        <v>49</v>
      </c>
      <c r="N7" t="s">
        <v>50</v>
      </c>
      <c r="O7" t="s">
        <v>31</v>
      </c>
    </row>
    <row r="8" spans="1:15" x14ac:dyDescent="0.25">
      <c r="A8" s="1">
        <v>45292</v>
      </c>
      <c r="B8" t="s">
        <v>21</v>
      </c>
      <c r="C8" t="s">
        <v>12</v>
      </c>
      <c r="D8" t="s">
        <v>24</v>
      </c>
      <c r="E8" t="s">
        <v>25</v>
      </c>
      <c r="F8" s="2">
        <v>47.59</v>
      </c>
      <c r="G8" s="2">
        <v>120</v>
      </c>
      <c r="H8">
        <v>8</v>
      </c>
      <c r="I8" t="s">
        <v>19</v>
      </c>
      <c r="J8">
        <v>5.7</v>
      </c>
      <c r="K8" s="3">
        <f t="shared" si="0"/>
        <v>72.41</v>
      </c>
      <c r="L8" s="2">
        <f t="shared" si="1"/>
        <v>14.481999999999999</v>
      </c>
      <c r="M8" t="s">
        <v>51</v>
      </c>
      <c r="N8" t="s">
        <v>52</v>
      </c>
      <c r="O8" t="s">
        <v>28</v>
      </c>
    </row>
    <row r="9" spans="1:15" x14ac:dyDescent="0.25">
      <c r="A9" s="1">
        <v>45292</v>
      </c>
      <c r="B9" t="s">
        <v>21</v>
      </c>
      <c r="C9" t="s">
        <v>17</v>
      </c>
      <c r="D9" t="s">
        <v>24</v>
      </c>
      <c r="E9" t="s">
        <v>20</v>
      </c>
      <c r="F9" s="2">
        <v>72.61</v>
      </c>
      <c r="G9" s="2">
        <v>120</v>
      </c>
      <c r="H9">
        <v>6</v>
      </c>
      <c r="I9" t="s">
        <v>15</v>
      </c>
      <c r="J9">
        <v>6.9</v>
      </c>
      <c r="K9" s="3">
        <f t="shared" si="0"/>
        <v>47.39</v>
      </c>
      <c r="L9" s="2">
        <f t="shared" si="1"/>
        <v>9.4779999999999998</v>
      </c>
      <c r="M9" t="s">
        <v>53</v>
      </c>
      <c r="N9" t="s">
        <v>54</v>
      </c>
      <c r="O9" t="s">
        <v>28</v>
      </c>
    </row>
    <row r="10" spans="1:15" x14ac:dyDescent="0.25">
      <c r="A10" s="1">
        <v>45292</v>
      </c>
      <c r="B10" t="s">
        <v>16</v>
      </c>
      <c r="C10" t="s">
        <v>17</v>
      </c>
      <c r="D10" t="s">
        <v>24</v>
      </c>
      <c r="E10" t="s">
        <v>26</v>
      </c>
      <c r="F10" s="2">
        <v>62.87</v>
      </c>
      <c r="G10" s="2">
        <v>120</v>
      </c>
      <c r="H10">
        <v>2</v>
      </c>
      <c r="I10" t="s">
        <v>19</v>
      </c>
      <c r="J10">
        <v>5</v>
      </c>
      <c r="K10" s="3">
        <f t="shared" si="0"/>
        <v>57.13</v>
      </c>
      <c r="L10" s="2">
        <f t="shared" si="1"/>
        <v>11.426000000000002</v>
      </c>
      <c r="M10" t="s">
        <v>55</v>
      </c>
      <c r="N10" t="s">
        <v>56</v>
      </c>
      <c r="O10" t="s">
        <v>31</v>
      </c>
    </row>
    <row r="11" spans="1:15" x14ac:dyDescent="0.25">
      <c r="A11" s="1">
        <v>45292</v>
      </c>
      <c r="B11" t="s">
        <v>11</v>
      </c>
      <c r="C11" t="s">
        <v>17</v>
      </c>
      <c r="D11" t="s">
        <v>24</v>
      </c>
      <c r="E11" t="s">
        <v>14</v>
      </c>
      <c r="F11" s="2">
        <v>21.12</v>
      </c>
      <c r="G11" s="2">
        <v>120</v>
      </c>
      <c r="H11">
        <v>8</v>
      </c>
      <c r="I11" t="s">
        <v>19</v>
      </c>
      <c r="J11">
        <v>6.3</v>
      </c>
      <c r="K11" s="3">
        <f t="shared" si="0"/>
        <v>98.88</v>
      </c>
      <c r="L11" s="2">
        <f t="shared" si="1"/>
        <v>19.776</v>
      </c>
      <c r="M11" t="s">
        <v>57</v>
      </c>
      <c r="N11" t="s">
        <v>58</v>
      </c>
      <c r="O11" t="s">
        <v>29</v>
      </c>
    </row>
    <row r="12" spans="1:15" x14ac:dyDescent="0.25">
      <c r="A12" s="1">
        <v>45292</v>
      </c>
      <c r="B12" t="s">
        <v>16</v>
      </c>
      <c r="C12" t="s">
        <v>12</v>
      </c>
      <c r="D12" t="s">
        <v>13</v>
      </c>
      <c r="E12" t="s">
        <v>20</v>
      </c>
      <c r="F12" s="2">
        <v>29.22</v>
      </c>
      <c r="G12" s="2">
        <v>120</v>
      </c>
      <c r="H12">
        <v>6</v>
      </c>
      <c r="I12" t="s">
        <v>22</v>
      </c>
      <c r="J12">
        <v>5</v>
      </c>
      <c r="K12" s="3">
        <f t="shared" si="0"/>
        <v>90.78</v>
      </c>
      <c r="L12" s="2">
        <f t="shared" si="1"/>
        <v>18.156000000000002</v>
      </c>
      <c r="M12" t="s">
        <v>59</v>
      </c>
      <c r="N12" t="s">
        <v>60</v>
      </c>
      <c r="O12" t="s">
        <v>32</v>
      </c>
    </row>
    <row r="13" spans="1:15" x14ac:dyDescent="0.25">
      <c r="A13" s="1">
        <v>45292</v>
      </c>
      <c r="B13" t="s">
        <v>21</v>
      </c>
      <c r="C13" t="s">
        <v>12</v>
      </c>
      <c r="D13" t="s">
        <v>13</v>
      </c>
      <c r="E13" t="s">
        <v>18</v>
      </c>
      <c r="F13" s="2">
        <v>74.22</v>
      </c>
      <c r="G13" s="2">
        <v>120</v>
      </c>
      <c r="H13">
        <v>10</v>
      </c>
      <c r="I13" t="s">
        <v>15</v>
      </c>
      <c r="J13">
        <v>4.3</v>
      </c>
      <c r="K13" s="3">
        <f t="shared" si="0"/>
        <v>45.78</v>
      </c>
      <c r="L13" s="2">
        <f t="shared" si="1"/>
        <v>9.1560000000000006</v>
      </c>
      <c r="M13" t="s">
        <v>59</v>
      </c>
      <c r="N13" t="s">
        <v>61</v>
      </c>
      <c r="O13" t="s">
        <v>31</v>
      </c>
    </row>
    <row r="14" spans="1:15" x14ac:dyDescent="0.25">
      <c r="A14" s="1">
        <v>45293</v>
      </c>
      <c r="B14" t="s">
        <v>21</v>
      </c>
      <c r="C14" t="s">
        <v>17</v>
      </c>
      <c r="D14" t="s">
        <v>24</v>
      </c>
      <c r="E14" t="s">
        <v>20</v>
      </c>
      <c r="F14" s="2">
        <v>42.47</v>
      </c>
      <c r="G14" s="2">
        <v>120</v>
      </c>
      <c r="H14">
        <v>1</v>
      </c>
      <c r="I14" t="s">
        <v>19</v>
      </c>
      <c r="J14">
        <v>5.7</v>
      </c>
      <c r="K14" s="3">
        <f t="shared" si="0"/>
        <v>77.53</v>
      </c>
      <c r="L14" s="2">
        <f t="shared" si="1"/>
        <v>15.506</v>
      </c>
      <c r="M14" t="s">
        <v>62</v>
      </c>
      <c r="N14" t="s">
        <v>63</v>
      </c>
      <c r="O14" t="s">
        <v>32</v>
      </c>
    </row>
    <row r="15" spans="1:15" x14ac:dyDescent="0.25">
      <c r="A15" s="1">
        <v>45293</v>
      </c>
      <c r="B15" t="s">
        <v>11</v>
      </c>
      <c r="C15" t="s">
        <v>12</v>
      </c>
      <c r="D15" t="s">
        <v>24</v>
      </c>
      <c r="E15" t="s">
        <v>23</v>
      </c>
      <c r="F15" s="2">
        <v>40.61</v>
      </c>
      <c r="G15" s="2">
        <v>120</v>
      </c>
      <c r="H15">
        <v>9</v>
      </c>
      <c r="I15" t="s">
        <v>19</v>
      </c>
      <c r="J15">
        <v>7</v>
      </c>
      <c r="K15" s="3">
        <f t="shared" si="0"/>
        <v>79.39</v>
      </c>
      <c r="L15" s="2">
        <f t="shared" si="1"/>
        <v>15.878</v>
      </c>
      <c r="M15" t="s">
        <v>64</v>
      </c>
      <c r="N15" t="s">
        <v>65</v>
      </c>
      <c r="O15" t="s">
        <v>33</v>
      </c>
    </row>
    <row r="16" spans="1:15" x14ac:dyDescent="0.25">
      <c r="A16" s="1">
        <v>45293</v>
      </c>
      <c r="B16" t="s">
        <v>11</v>
      </c>
      <c r="C16" t="s">
        <v>17</v>
      </c>
      <c r="D16" t="s">
        <v>24</v>
      </c>
      <c r="E16" t="s">
        <v>20</v>
      </c>
      <c r="F16" s="2">
        <v>44.63</v>
      </c>
      <c r="G16" s="2">
        <v>120</v>
      </c>
      <c r="H16">
        <v>6</v>
      </c>
      <c r="I16" t="s">
        <v>15</v>
      </c>
      <c r="J16">
        <v>5.0999999999999996</v>
      </c>
      <c r="K16" s="3">
        <f t="shared" si="0"/>
        <v>75.37</v>
      </c>
      <c r="L16" s="2">
        <f t="shared" si="1"/>
        <v>15.074000000000002</v>
      </c>
      <c r="M16" t="s">
        <v>66</v>
      </c>
      <c r="N16" t="s">
        <v>67</v>
      </c>
      <c r="O16" t="s">
        <v>34</v>
      </c>
    </row>
    <row r="17" spans="1:15" x14ac:dyDescent="0.25">
      <c r="A17" s="1">
        <v>45293</v>
      </c>
      <c r="B17" t="s">
        <v>21</v>
      </c>
      <c r="C17" t="s">
        <v>12</v>
      </c>
      <c r="D17" t="s">
        <v>24</v>
      </c>
      <c r="E17" t="s">
        <v>14</v>
      </c>
      <c r="F17" s="2">
        <v>41.66</v>
      </c>
      <c r="G17" s="2">
        <v>120</v>
      </c>
      <c r="H17">
        <v>6</v>
      </c>
      <c r="I17" t="s">
        <v>22</v>
      </c>
      <c r="J17">
        <v>5.6</v>
      </c>
      <c r="K17" s="3">
        <f t="shared" si="0"/>
        <v>78.34</v>
      </c>
      <c r="L17" s="2">
        <f t="shared" si="1"/>
        <v>15.668000000000001</v>
      </c>
      <c r="M17" t="s">
        <v>68</v>
      </c>
      <c r="N17" t="s">
        <v>69</v>
      </c>
      <c r="O17" t="s">
        <v>35</v>
      </c>
    </row>
    <row r="18" spans="1:15" x14ac:dyDescent="0.25">
      <c r="A18" s="1">
        <v>45293</v>
      </c>
      <c r="B18" t="s">
        <v>16</v>
      </c>
      <c r="C18" t="s">
        <v>12</v>
      </c>
      <c r="D18" t="s">
        <v>13</v>
      </c>
      <c r="E18" t="s">
        <v>20</v>
      </c>
      <c r="F18" s="2">
        <v>31.67</v>
      </c>
      <c r="G18" s="2">
        <v>120</v>
      </c>
      <c r="H18">
        <v>8</v>
      </c>
      <c r="I18" t="s">
        <v>15</v>
      </c>
      <c r="J18">
        <v>5.6</v>
      </c>
      <c r="K18" s="3">
        <f t="shared" si="0"/>
        <v>88.33</v>
      </c>
      <c r="L18" s="2">
        <f t="shared" si="1"/>
        <v>17.666</v>
      </c>
      <c r="M18" t="s">
        <v>70</v>
      </c>
      <c r="N18" t="s">
        <v>67</v>
      </c>
      <c r="O18" t="s">
        <v>36</v>
      </c>
    </row>
    <row r="19" spans="1:15" x14ac:dyDescent="0.25">
      <c r="A19" s="1">
        <v>45293</v>
      </c>
      <c r="B19" t="s">
        <v>11</v>
      </c>
      <c r="C19" t="s">
        <v>17</v>
      </c>
      <c r="D19" t="s">
        <v>13</v>
      </c>
      <c r="E19" t="s">
        <v>26</v>
      </c>
      <c r="F19" s="2">
        <v>34.21</v>
      </c>
      <c r="G19" s="2">
        <v>120</v>
      </c>
      <c r="H19">
        <v>10</v>
      </c>
      <c r="I19" t="s">
        <v>19</v>
      </c>
      <c r="J19">
        <v>5.0999999999999996</v>
      </c>
      <c r="K19" s="3">
        <f t="shared" si="0"/>
        <v>85.789999999999992</v>
      </c>
      <c r="L19" s="2">
        <f t="shared" si="1"/>
        <v>17.157999999999998</v>
      </c>
      <c r="M19" t="s">
        <v>39</v>
      </c>
      <c r="N19" t="s">
        <v>40</v>
      </c>
      <c r="O19" t="s">
        <v>37</v>
      </c>
    </row>
    <row r="20" spans="1:15" x14ac:dyDescent="0.25">
      <c r="A20" s="1">
        <v>45293</v>
      </c>
      <c r="B20" t="s">
        <v>11</v>
      </c>
      <c r="C20" t="s">
        <v>17</v>
      </c>
      <c r="D20" t="s">
        <v>24</v>
      </c>
      <c r="E20" t="s">
        <v>18</v>
      </c>
      <c r="F20" s="2">
        <v>22.01</v>
      </c>
      <c r="G20" s="2">
        <v>120</v>
      </c>
      <c r="H20">
        <v>6</v>
      </c>
      <c r="I20" t="s">
        <v>19</v>
      </c>
      <c r="J20">
        <v>7.6</v>
      </c>
      <c r="K20" s="3">
        <f t="shared" si="0"/>
        <v>97.99</v>
      </c>
      <c r="L20" s="2">
        <f t="shared" si="1"/>
        <v>19.597999999999999</v>
      </c>
      <c r="M20" t="s">
        <v>41</v>
      </c>
      <c r="N20" t="s">
        <v>42</v>
      </c>
      <c r="O20" t="s">
        <v>38</v>
      </c>
    </row>
    <row r="21" spans="1:15" x14ac:dyDescent="0.25">
      <c r="A21" s="1">
        <v>45293</v>
      </c>
      <c r="B21" t="s">
        <v>16</v>
      </c>
      <c r="C21" t="s">
        <v>17</v>
      </c>
      <c r="D21" t="s">
        <v>24</v>
      </c>
      <c r="E21" t="s">
        <v>23</v>
      </c>
      <c r="F21" s="2">
        <v>99.82</v>
      </c>
      <c r="G21" s="2">
        <v>120</v>
      </c>
      <c r="H21">
        <v>2</v>
      </c>
      <c r="I21" t="s">
        <v>15</v>
      </c>
      <c r="J21">
        <v>6.7</v>
      </c>
      <c r="K21" s="3">
        <f t="shared" si="0"/>
        <v>20.180000000000007</v>
      </c>
      <c r="L21" s="2">
        <f t="shared" si="1"/>
        <v>4.0360000000000014</v>
      </c>
      <c r="M21" t="s">
        <v>43</v>
      </c>
      <c r="N21" t="s">
        <v>44</v>
      </c>
      <c r="O21" t="s">
        <v>28</v>
      </c>
    </row>
    <row r="22" spans="1:15" x14ac:dyDescent="0.25">
      <c r="A22" s="1">
        <v>45294</v>
      </c>
      <c r="B22" t="s">
        <v>11</v>
      </c>
      <c r="C22" t="s">
        <v>17</v>
      </c>
      <c r="D22" t="s">
        <v>13</v>
      </c>
      <c r="E22" t="s">
        <v>25</v>
      </c>
      <c r="F22" s="2">
        <v>63.15</v>
      </c>
      <c r="G22" s="2">
        <v>120</v>
      </c>
      <c r="H22">
        <v>6</v>
      </c>
      <c r="I22" t="s">
        <v>22</v>
      </c>
      <c r="J22">
        <v>9.8000000000000007</v>
      </c>
      <c r="K22" s="3">
        <f t="shared" si="0"/>
        <v>56.85</v>
      </c>
      <c r="L22" s="2">
        <f t="shared" si="1"/>
        <v>11.370000000000001</v>
      </c>
      <c r="M22" t="s">
        <v>45</v>
      </c>
      <c r="N22" t="s">
        <v>46</v>
      </c>
      <c r="O22" t="s">
        <v>29</v>
      </c>
    </row>
    <row r="23" spans="1:15" x14ac:dyDescent="0.25">
      <c r="A23" s="1">
        <v>45294</v>
      </c>
      <c r="B23" t="s">
        <v>16</v>
      </c>
      <c r="C23" t="s">
        <v>12</v>
      </c>
      <c r="D23" t="s">
        <v>24</v>
      </c>
      <c r="E23" t="s">
        <v>26</v>
      </c>
      <c r="F23" s="2">
        <v>75.88</v>
      </c>
      <c r="G23" s="2">
        <v>120</v>
      </c>
      <c r="H23">
        <v>1</v>
      </c>
      <c r="I23" t="s">
        <v>15</v>
      </c>
      <c r="J23">
        <v>7.1</v>
      </c>
      <c r="K23" s="3">
        <f t="shared" si="0"/>
        <v>44.120000000000005</v>
      </c>
      <c r="L23" s="2">
        <f t="shared" si="1"/>
        <v>8.8240000000000016</v>
      </c>
      <c r="M23" t="s">
        <v>47</v>
      </c>
      <c r="N23" t="s">
        <v>48</v>
      </c>
      <c r="O23" t="s">
        <v>30</v>
      </c>
    </row>
    <row r="24" spans="1:15" x14ac:dyDescent="0.25">
      <c r="A24" s="1">
        <v>45294</v>
      </c>
      <c r="B24" t="s">
        <v>11</v>
      </c>
      <c r="C24" t="s">
        <v>17</v>
      </c>
      <c r="D24" t="s">
        <v>24</v>
      </c>
      <c r="E24" t="s">
        <v>20</v>
      </c>
      <c r="F24" s="2">
        <v>93.38</v>
      </c>
      <c r="G24" s="2">
        <v>120</v>
      </c>
      <c r="H24">
        <v>1</v>
      </c>
      <c r="I24" t="s">
        <v>19</v>
      </c>
      <c r="J24">
        <v>9.6</v>
      </c>
      <c r="K24" s="3">
        <f t="shared" si="0"/>
        <v>26.620000000000005</v>
      </c>
      <c r="L24" s="2">
        <f t="shared" si="1"/>
        <v>5.3240000000000016</v>
      </c>
      <c r="M24" t="s">
        <v>49</v>
      </c>
      <c r="N24" t="s">
        <v>50</v>
      </c>
      <c r="O24" t="s">
        <v>31</v>
      </c>
    </row>
    <row r="25" spans="1:15" x14ac:dyDescent="0.25">
      <c r="A25" s="1">
        <v>45294</v>
      </c>
      <c r="B25" t="s">
        <v>21</v>
      </c>
      <c r="C25" t="s">
        <v>17</v>
      </c>
      <c r="D25" t="s">
        <v>24</v>
      </c>
      <c r="E25" t="s">
        <v>26</v>
      </c>
      <c r="F25" s="2">
        <v>70.010000000000005</v>
      </c>
      <c r="G25" s="2">
        <v>120</v>
      </c>
      <c r="H25">
        <v>5</v>
      </c>
      <c r="I25" t="s">
        <v>22</v>
      </c>
      <c r="J25">
        <v>5.5</v>
      </c>
      <c r="K25" s="3">
        <f t="shared" si="0"/>
        <v>49.989999999999995</v>
      </c>
      <c r="L25" s="2">
        <f t="shared" si="1"/>
        <v>9.9979999999999993</v>
      </c>
      <c r="M25" t="s">
        <v>51</v>
      </c>
      <c r="N25" t="s">
        <v>52</v>
      </c>
      <c r="O25" t="s">
        <v>31</v>
      </c>
    </row>
    <row r="26" spans="1:15" x14ac:dyDescent="0.25">
      <c r="A26" s="1">
        <v>45294</v>
      </c>
      <c r="B26" t="s">
        <v>21</v>
      </c>
      <c r="C26" t="s">
        <v>17</v>
      </c>
      <c r="D26" t="s">
        <v>13</v>
      </c>
      <c r="E26" t="s">
        <v>26</v>
      </c>
      <c r="F26" s="2">
        <v>23.03</v>
      </c>
      <c r="G26" s="2">
        <v>120</v>
      </c>
      <c r="H26">
        <v>9</v>
      </c>
      <c r="I26" t="s">
        <v>22</v>
      </c>
      <c r="J26">
        <v>7.9</v>
      </c>
      <c r="K26" s="3">
        <f t="shared" si="0"/>
        <v>96.97</v>
      </c>
      <c r="L26" s="2">
        <f t="shared" si="1"/>
        <v>19.394000000000002</v>
      </c>
      <c r="M26" t="s">
        <v>53</v>
      </c>
      <c r="N26" t="s">
        <v>54</v>
      </c>
      <c r="O26" t="s">
        <v>31</v>
      </c>
    </row>
    <row r="27" spans="1:15" x14ac:dyDescent="0.25">
      <c r="A27" s="1">
        <v>45294</v>
      </c>
      <c r="B27" t="s">
        <v>16</v>
      </c>
      <c r="C27" t="s">
        <v>12</v>
      </c>
      <c r="D27" t="s">
        <v>13</v>
      </c>
      <c r="E27" t="s">
        <v>26</v>
      </c>
      <c r="F27" s="2">
        <v>21.12</v>
      </c>
      <c r="G27" s="2">
        <v>120</v>
      </c>
      <c r="H27">
        <v>2</v>
      </c>
      <c r="I27" t="s">
        <v>19</v>
      </c>
      <c r="J27">
        <v>9.6999999999999993</v>
      </c>
      <c r="K27" s="3">
        <f t="shared" si="0"/>
        <v>98.88</v>
      </c>
      <c r="L27" s="2">
        <f t="shared" si="1"/>
        <v>19.776</v>
      </c>
      <c r="M27" t="s">
        <v>55</v>
      </c>
      <c r="N27" t="s">
        <v>56</v>
      </c>
      <c r="O27" t="s">
        <v>28</v>
      </c>
    </row>
    <row r="28" spans="1:15" x14ac:dyDescent="0.25">
      <c r="A28" s="1">
        <v>45294</v>
      </c>
      <c r="B28" t="s">
        <v>21</v>
      </c>
      <c r="C28" t="s">
        <v>17</v>
      </c>
      <c r="D28" t="s">
        <v>13</v>
      </c>
      <c r="E28" t="s">
        <v>25</v>
      </c>
      <c r="F28" s="2">
        <v>67.09</v>
      </c>
      <c r="G28" s="2">
        <v>120</v>
      </c>
      <c r="H28">
        <v>5</v>
      </c>
      <c r="I28" t="s">
        <v>15</v>
      </c>
      <c r="J28">
        <v>9.1</v>
      </c>
      <c r="K28" s="3">
        <f t="shared" si="0"/>
        <v>52.91</v>
      </c>
      <c r="L28" s="2">
        <f t="shared" si="1"/>
        <v>10.582000000000001</v>
      </c>
      <c r="M28" t="s">
        <v>57</v>
      </c>
      <c r="N28" t="s">
        <v>58</v>
      </c>
      <c r="O28" t="s">
        <v>28</v>
      </c>
    </row>
    <row r="29" spans="1:15" x14ac:dyDescent="0.25">
      <c r="A29" s="1">
        <v>45294</v>
      </c>
      <c r="B29" t="s">
        <v>11</v>
      </c>
      <c r="C29" t="s">
        <v>12</v>
      </c>
      <c r="D29" t="s">
        <v>24</v>
      </c>
      <c r="E29" t="s">
        <v>26</v>
      </c>
      <c r="F29" s="2">
        <v>62</v>
      </c>
      <c r="G29" s="2">
        <v>120</v>
      </c>
      <c r="H29">
        <v>8</v>
      </c>
      <c r="I29" t="s">
        <v>15</v>
      </c>
      <c r="J29">
        <v>6.2</v>
      </c>
      <c r="K29" s="3">
        <f t="shared" si="0"/>
        <v>58</v>
      </c>
      <c r="L29" s="2">
        <f t="shared" si="1"/>
        <v>11.600000000000001</v>
      </c>
      <c r="M29" t="s">
        <v>59</v>
      </c>
      <c r="N29" t="s">
        <v>60</v>
      </c>
      <c r="O29" t="s">
        <v>31</v>
      </c>
    </row>
    <row r="30" spans="1:15" x14ac:dyDescent="0.25">
      <c r="A30" s="1">
        <v>45295</v>
      </c>
      <c r="B30" t="s">
        <v>11</v>
      </c>
      <c r="C30" t="s">
        <v>17</v>
      </c>
      <c r="D30" t="s">
        <v>24</v>
      </c>
      <c r="E30" t="s">
        <v>20</v>
      </c>
      <c r="F30" s="2">
        <v>46.42</v>
      </c>
      <c r="G30" s="2">
        <v>120</v>
      </c>
      <c r="H30">
        <v>3</v>
      </c>
      <c r="I30" t="s">
        <v>15</v>
      </c>
      <c r="J30">
        <v>4.4000000000000004</v>
      </c>
      <c r="K30" s="3">
        <f t="shared" si="0"/>
        <v>73.58</v>
      </c>
      <c r="L30" s="2">
        <f t="shared" si="1"/>
        <v>14.716000000000001</v>
      </c>
      <c r="M30" t="s">
        <v>59</v>
      </c>
      <c r="N30" t="s">
        <v>61</v>
      </c>
      <c r="O30" t="s">
        <v>29</v>
      </c>
    </row>
    <row r="31" spans="1:15" x14ac:dyDescent="0.25">
      <c r="A31" s="1">
        <v>45295</v>
      </c>
      <c r="B31" t="s">
        <v>21</v>
      </c>
      <c r="C31" t="s">
        <v>12</v>
      </c>
      <c r="D31" t="s">
        <v>24</v>
      </c>
      <c r="E31" t="s">
        <v>26</v>
      </c>
      <c r="F31" s="2">
        <v>20.97</v>
      </c>
      <c r="G31" s="2">
        <v>120</v>
      </c>
      <c r="H31">
        <v>5</v>
      </c>
      <c r="I31" t="s">
        <v>19</v>
      </c>
      <c r="J31">
        <v>7.8</v>
      </c>
      <c r="K31" s="3">
        <f t="shared" si="0"/>
        <v>99.03</v>
      </c>
      <c r="L31" s="2">
        <f t="shared" si="1"/>
        <v>19.806000000000001</v>
      </c>
      <c r="M31" t="s">
        <v>62</v>
      </c>
      <c r="N31" t="s">
        <v>63</v>
      </c>
      <c r="O31" t="s">
        <v>32</v>
      </c>
    </row>
    <row r="32" spans="1:15" x14ac:dyDescent="0.25">
      <c r="A32" s="1">
        <v>45295</v>
      </c>
      <c r="B32" t="s">
        <v>16</v>
      </c>
      <c r="C32" t="s">
        <v>12</v>
      </c>
      <c r="D32" t="s">
        <v>13</v>
      </c>
      <c r="E32" t="s">
        <v>18</v>
      </c>
      <c r="F32" s="2">
        <v>66.650000000000006</v>
      </c>
      <c r="G32" s="2">
        <v>120</v>
      </c>
      <c r="H32">
        <v>9</v>
      </c>
      <c r="I32" t="s">
        <v>15</v>
      </c>
      <c r="J32">
        <v>9.6999999999999993</v>
      </c>
      <c r="K32" s="3">
        <f t="shared" si="0"/>
        <v>53.349999999999994</v>
      </c>
      <c r="L32" s="2">
        <f t="shared" si="1"/>
        <v>10.67</v>
      </c>
      <c r="M32" t="s">
        <v>64</v>
      </c>
      <c r="N32" t="s">
        <v>65</v>
      </c>
      <c r="O32" t="s">
        <v>31</v>
      </c>
    </row>
    <row r="33" spans="1:15" x14ac:dyDescent="0.25">
      <c r="A33" s="1">
        <v>45295</v>
      </c>
      <c r="B33" t="s">
        <v>21</v>
      </c>
      <c r="C33" t="s">
        <v>12</v>
      </c>
      <c r="D33" t="s">
        <v>13</v>
      </c>
      <c r="E33" t="s">
        <v>25</v>
      </c>
      <c r="F33" s="2">
        <v>35.54</v>
      </c>
      <c r="G33" s="2">
        <v>120</v>
      </c>
      <c r="H33">
        <v>10</v>
      </c>
      <c r="I33" t="s">
        <v>22</v>
      </c>
      <c r="J33">
        <v>7</v>
      </c>
      <c r="K33" s="3">
        <f t="shared" si="0"/>
        <v>84.460000000000008</v>
      </c>
      <c r="L33" s="2">
        <f t="shared" si="1"/>
        <v>16.892000000000003</v>
      </c>
      <c r="M33" t="s">
        <v>66</v>
      </c>
      <c r="N33" t="s">
        <v>67</v>
      </c>
      <c r="O33" t="s">
        <v>32</v>
      </c>
    </row>
    <row r="34" spans="1:15" x14ac:dyDescent="0.25">
      <c r="A34" s="1">
        <v>45295</v>
      </c>
      <c r="B34" t="s">
        <v>11</v>
      </c>
      <c r="C34" t="s">
        <v>12</v>
      </c>
      <c r="D34" t="s">
        <v>13</v>
      </c>
      <c r="E34" t="s">
        <v>23</v>
      </c>
      <c r="F34" s="2">
        <v>68.709999999999994</v>
      </c>
      <c r="G34" s="2">
        <v>120</v>
      </c>
      <c r="H34">
        <v>4</v>
      </c>
      <c r="I34" t="s">
        <v>19</v>
      </c>
      <c r="J34">
        <v>4.0999999999999996</v>
      </c>
      <c r="K34" s="3">
        <f t="shared" si="0"/>
        <v>51.290000000000006</v>
      </c>
      <c r="L34" s="2">
        <f t="shared" si="1"/>
        <v>10.258000000000003</v>
      </c>
      <c r="M34" t="s">
        <v>68</v>
      </c>
      <c r="N34" t="s">
        <v>69</v>
      </c>
      <c r="O34" t="s">
        <v>33</v>
      </c>
    </row>
    <row r="35" spans="1:15" x14ac:dyDescent="0.25">
      <c r="A35" s="1">
        <v>45295</v>
      </c>
      <c r="B35" t="s">
        <v>11</v>
      </c>
      <c r="C35" t="s">
        <v>12</v>
      </c>
      <c r="D35" t="s">
        <v>24</v>
      </c>
      <c r="E35" t="s">
        <v>18</v>
      </c>
      <c r="F35" s="2">
        <v>72.17</v>
      </c>
      <c r="G35" s="2">
        <v>120</v>
      </c>
      <c r="H35">
        <v>1</v>
      </c>
      <c r="I35" t="s">
        <v>19</v>
      </c>
      <c r="J35">
        <v>6.1</v>
      </c>
      <c r="K35" s="3">
        <f t="shared" si="0"/>
        <v>47.83</v>
      </c>
      <c r="L35" s="2">
        <f t="shared" si="1"/>
        <v>9.5660000000000007</v>
      </c>
      <c r="M35" t="s">
        <v>70</v>
      </c>
      <c r="N35" t="s">
        <v>67</v>
      </c>
      <c r="O35" t="s">
        <v>34</v>
      </c>
    </row>
    <row r="36" spans="1:15" x14ac:dyDescent="0.25">
      <c r="A36" s="1">
        <v>45296</v>
      </c>
      <c r="B36" t="s">
        <v>16</v>
      </c>
      <c r="C36" t="s">
        <v>12</v>
      </c>
      <c r="D36" t="s">
        <v>13</v>
      </c>
      <c r="E36" t="s">
        <v>23</v>
      </c>
      <c r="F36" s="2">
        <v>31.9</v>
      </c>
      <c r="G36" s="2">
        <v>120</v>
      </c>
      <c r="H36">
        <v>1</v>
      </c>
      <c r="I36" t="s">
        <v>22</v>
      </c>
      <c r="J36">
        <v>9.1</v>
      </c>
      <c r="K36" s="3">
        <f t="shared" si="0"/>
        <v>88.1</v>
      </c>
      <c r="L36" s="2">
        <f t="shared" si="1"/>
        <v>17.62</v>
      </c>
      <c r="M36" t="s">
        <v>39</v>
      </c>
      <c r="N36" t="s">
        <v>40</v>
      </c>
      <c r="O36" t="s">
        <v>35</v>
      </c>
    </row>
    <row r="37" spans="1:15" x14ac:dyDescent="0.25">
      <c r="A37" s="1">
        <v>45296</v>
      </c>
      <c r="B37" t="s">
        <v>16</v>
      </c>
      <c r="C37" t="s">
        <v>17</v>
      </c>
      <c r="D37" t="s">
        <v>24</v>
      </c>
      <c r="E37" t="s">
        <v>23</v>
      </c>
      <c r="F37" s="2">
        <v>27.38</v>
      </c>
      <c r="G37" s="2">
        <v>120</v>
      </c>
      <c r="H37">
        <v>6</v>
      </c>
      <c r="I37" t="s">
        <v>15</v>
      </c>
      <c r="J37">
        <v>7.9</v>
      </c>
      <c r="K37" s="3">
        <f t="shared" si="0"/>
        <v>92.62</v>
      </c>
      <c r="L37" s="2">
        <f t="shared" si="1"/>
        <v>18.524000000000001</v>
      </c>
      <c r="M37" t="s">
        <v>41</v>
      </c>
      <c r="N37" t="s">
        <v>42</v>
      </c>
      <c r="O37" t="s">
        <v>36</v>
      </c>
    </row>
    <row r="38" spans="1:15" x14ac:dyDescent="0.25">
      <c r="A38" s="1">
        <v>45296</v>
      </c>
      <c r="B38" t="s">
        <v>11</v>
      </c>
      <c r="C38" t="s">
        <v>12</v>
      </c>
      <c r="D38" t="s">
        <v>13</v>
      </c>
      <c r="E38" t="s">
        <v>25</v>
      </c>
      <c r="F38" s="2">
        <v>35.380000000000003</v>
      </c>
      <c r="G38" s="2">
        <v>120</v>
      </c>
      <c r="H38">
        <v>9</v>
      </c>
      <c r="I38" t="s">
        <v>15</v>
      </c>
      <c r="J38">
        <v>9.6</v>
      </c>
      <c r="K38" s="3">
        <f t="shared" si="0"/>
        <v>84.62</v>
      </c>
      <c r="L38" s="2">
        <f t="shared" si="1"/>
        <v>16.924000000000003</v>
      </c>
      <c r="M38" t="s">
        <v>43</v>
      </c>
      <c r="N38" t="s">
        <v>44</v>
      </c>
      <c r="O38" t="s">
        <v>37</v>
      </c>
    </row>
    <row r="39" spans="1:15" x14ac:dyDescent="0.25">
      <c r="A39" s="1">
        <v>45296</v>
      </c>
      <c r="B39" t="s">
        <v>16</v>
      </c>
      <c r="C39" t="s">
        <v>17</v>
      </c>
      <c r="D39" t="s">
        <v>13</v>
      </c>
      <c r="E39" t="s">
        <v>23</v>
      </c>
      <c r="F39" s="2">
        <v>76.06</v>
      </c>
      <c r="G39" s="2">
        <v>120</v>
      </c>
      <c r="H39">
        <v>3</v>
      </c>
      <c r="I39" t="s">
        <v>15</v>
      </c>
      <c r="J39">
        <v>9.8000000000000007</v>
      </c>
      <c r="K39" s="3">
        <f t="shared" si="0"/>
        <v>43.94</v>
      </c>
      <c r="L39" s="2">
        <f t="shared" si="1"/>
        <v>8.7880000000000003</v>
      </c>
      <c r="M39" t="s">
        <v>45</v>
      </c>
      <c r="N39" t="s">
        <v>46</v>
      </c>
      <c r="O39" t="s">
        <v>38</v>
      </c>
    </row>
    <row r="40" spans="1:15" x14ac:dyDescent="0.25">
      <c r="A40" s="1">
        <v>45296</v>
      </c>
      <c r="B40" t="s">
        <v>21</v>
      </c>
      <c r="C40" t="s">
        <v>12</v>
      </c>
      <c r="D40" t="s">
        <v>13</v>
      </c>
      <c r="E40" t="s">
        <v>26</v>
      </c>
      <c r="F40" s="2">
        <v>74.69</v>
      </c>
      <c r="G40" s="2">
        <v>120</v>
      </c>
      <c r="H40">
        <v>7</v>
      </c>
      <c r="I40" t="s">
        <v>22</v>
      </c>
      <c r="J40">
        <v>9.1</v>
      </c>
      <c r="K40" s="3">
        <f t="shared" si="0"/>
        <v>45.31</v>
      </c>
      <c r="L40" s="2">
        <f t="shared" si="1"/>
        <v>9.0620000000000012</v>
      </c>
      <c r="M40" t="s">
        <v>47</v>
      </c>
      <c r="N40" t="s">
        <v>48</v>
      </c>
      <c r="O40" t="s">
        <v>28</v>
      </c>
    </row>
    <row r="41" spans="1:15" x14ac:dyDescent="0.25">
      <c r="A41" s="1">
        <v>45296</v>
      </c>
      <c r="B41" t="s">
        <v>11</v>
      </c>
      <c r="C41" t="s">
        <v>17</v>
      </c>
      <c r="D41" t="s">
        <v>13</v>
      </c>
      <c r="E41" t="s">
        <v>14</v>
      </c>
      <c r="F41" s="2">
        <v>71.2</v>
      </c>
      <c r="G41" s="2">
        <v>120</v>
      </c>
      <c r="H41">
        <v>1</v>
      </c>
      <c r="I41" t="s">
        <v>15</v>
      </c>
      <c r="J41">
        <v>9.1999999999999993</v>
      </c>
      <c r="K41" s="3">
        <f t="shared" si="0"/>
        <v>48.8</v>
      </c>
      <c r="L41" s="2">
        <f t="shared" si="1"/>
        <v>9.76</v>
      </c>
      <c r="M41" t="s">
        <v>49</v>
      </c>
      <c r="N41" t="s">
        <v>50</v>
      </c>
      <c r="O41" t="s">
        <v>29</v>
      </c>
    </row>
    <row r="42" spans="1:15" x14ac:dyDescent="0.25">
      <c r="A42" s="1">
        <v>45296</v>
      </c>
      <c r="B42" t="s">
        <v>21</v>
      </c>
      <c r="C42" t="s">
        <v>12</v>
      </c>
      <c r="D42" t="s">
        <v>24</v>
      </c>
      <c r="E42" t="s">
        <v>25</v>
      </c>
      <c r="F42" s="2">
        <v>70.739999999999995</v>
      </c>
      <c r="G42" s="2">
        <v>120</v>
      </c>
      <c r="H42">
        <v>4</v>
      </c>
      <c r="I42" t="s">
        <v>15</v>
      </c>
      <c r="J42">
        <v>4.4000000000000004</v>
      </c>
      <c r="K42" s="3">
        <f t="shared" si="0"/>
        <v>49.260000000000005</v>
      </c>
      <c r="L42" s="2">
        <f t="shared" si="1"/>
        <v>9.8520000000000021</v>
      </c>
      <c r="M42" t="s">
        <v>51</v>
      </c>
      <c r="N42" t="s">
        <v>52</v>
      </c>
      <c r="O42" t="s">
        <v>30</v>
      </c>
    </row>
    <row r="43" spans="1:15" x14ac:dyDescent="0.25">
      <c r="A43" s="1">
        <v>45296</v>
      </c>
      <c r="B43" t="s">
        <v>21</v>
      </c>
      <c r="C43" t="s">
        <v>17</v>
      </c>
      <c r="D43" t="s">
        <v>13</v>
      </c>
      <c r="E43" t="s">
        <v>18</v>
      </c>
      <c r="F43" s="2">
        <v>93.88</v>
      </c>
      <c r="G43" s="2">
        <v>120</v>
      </c>
      <c r="H43">
        <v>7</v>
      </c>
      <c r="I43" t="s">
        <v>15</v>
      </c>
      <c r="J43">
        <v>7.3</v>
      </c>
      <c r="K43" s="3">
        <f t="shared" si="0"/>
        <v>26.120000000000005</v>
      </c>
      <c r="L43" s="2">
        <f t="shared" si="1"/>
        <v>5.2240000000000011</v>
      </c>
      <c r="M43" t="s">
        <v>53</v>
      </c>
      <c r="N43" t="s">
        <v>54</v>
      </c>
      <c r="O43" t="s">
        <v>31</v>
      </c>
    </row>
    <row r="44" spans="1:15" x14ac:dyDescent="0.25">
      <c r="A44" s="1">
        <v>45296</v>
      </c>
      <c r="B44" t="s">
        <v>16</v>
      </c>
      <c r="C44" t="s">
        <v>17</v>
      </c>
      <c r="D44" t="s">
        <v>13</v>
      </c>
      <c r="E44" t="s">
        <v>26</v>
      </c>
      <c r="F44" s="2">
        <v>78.89</v>
      </c>
      <c r="G44" s="2">
        <v>120</v>
      </c>
      <c r="H44">
        <v>7</v>
      </c>
      <c r="I44" t="s">
        <v>22</v>
      </c>
      <c r="J44">
        <v>7.5</v>
      </c>
      <c r="K44" s="3">
        <f t="shared" si="0"/>
        <v>41.11</v>
      </c>
      <c r="L44" s="2">
        <f t="shared" si="1"/>
        <v>8.2219999999999995</v>
      </c>
      <c r="M44" t="s">
        <v>55</v>
      </c>
      <c r="N44" t="s">
        <v>56</v>
      </c>
      <c r="O44" t="s">
        <v>31</v>
      </c>
    </row>
    <row r="45" spans="1:15" x14ac:dyDescent="0.25">
      <c r="A45" s="1">
        <v>45296</v>
      </c>
      <c r="B45" t="s">
        <v>11</v>
      </c>
      <c r="C45" t="s">
        <v>12</v>
      </c>
      <c r="D45" t="s">
        <v>13</v>
      </c>
      <c r="E45" t="s">
        <v>23</v>
      </c>
      <c r="F45" s="2">
        <v>73.959999999999994</v>
      </c>
      <c r="G45" s="2">
        <v>120</v>
      </c>
      <c r="H45">
        <v>1</v>
      </c>
      <c r="I45" t="s">
        <v>15</v>
      </c>
      <c r="J45">
        <v>5</v>
      </c>
      <c r="K45" s="3">
        <f t="shared" si="0"/>
        <v>46.040000000000006</v>
      </c>
      <c r="L45" s="2">
        <f t="shared" si="1"/>
        <v>9.208000000000002</v>
      </c>
      <c r="M45" t="s">
        <v>57</v>
      </c>
      <c r="N45" t="s">
        <v>58</v>
      </c>
      <c r="O45" t="s">
        <v>31</v>
      </c>
    </row>
    <row r="46" spans="1:15" x14ac:dyDescent="0.25">
      <c r="A46" s="1">
        <v>45296</v>
      </c>
      <c r="B46" t="s">
        <v>21</v>
      </c>
      <c r="C46" t="s">
        <v>12</v>
      </c>
      <c r="D46" t="s">
        <v>24</v>
      </c>
      <c r="E46" t="s">
        <v>25</v>
      </c>
      <c r="F46" s="2">
        <v>62.65</v>
      </c>
      <c r="G46" s="2">
        <v>120</v>
      </c>
      <c r="H46">
        <v>4</v>
      </c>
      <c r="I46" t="s">
        <v>19</v>
      </c>
      <c r="J46">
        <v>4.2</v>
      </c>
      <c r="K46" s="3">
        <f t="shared" si="0"/>
        <v>57.35</v>
      </c>
      <c r="L46" s="2">
        <f t="shared" si="1"/>
        <v>11.47</v>
      </c>
      <c r="M46" t="s">
        <v>59</v>
      </c>
      <c r="N46" t="s">
        <v>60</v>
      </c>
      <c r="O46" t="s">
        <v>28</v>
      </c>
    </row>
    <row r="47" spans="1:15" x14ac:dyDescent="0.25">
      <c r="A47" s="1">
        <v>45296</v>
      </c>
      <c r="B47" t="s">
        <v>21</v>
      </c>
      <c r="C47" t="s">
        <v>17</v>
      </c>
      <c r="D47" t="s">
        <v>13</v>
      </c>
      <c r="E47" t="s">
        <v>25</v>
      </c>
      <c r="F47" s="2">
        <v>42.91</v>
      </c>
      <c r="G47" s="2">
        <v>120</v>
      </c>
      <c r="H47">
        <v>5</v>
      </c>
      <c r="I47" t="s">
        <v>22</v>
      </c>
      <c r="J47">
        <v>6.1</v>
      </c>
      <c r="K47" s="3">
        <f t="shared" si="0"/>
        <v>77.09</v>
      </c>
      <c r="L47" s="2">
        <f t="shared" si="1"/>
        <v>15.418000000000001</v>
      </c>
      <c r="M47" t="s">
        <v>59</v>
      </c>
      <c r="N47" t="s">
        <v>61</v>
      </c>
      <c r="O47" t="s">
        <v>28</v>
      </c>
    </row>
    <row r="48" spans="1:15" x14ac:dyDescent="0.25">
      <c r="A48" s="1">
        <v>45297</v>
      </c>
      <c r="B48" t="s">
        <v>11</v>
      </c>
      <c r="C48" t="s">
        <v>17</v>
      </c>
      <c r="D48" t="s">
        <v>24</v>
      </c>
      <c r="E48" t="s">
        <v>25</v>
      </c>
      <c r="F48" s="2">
        <v>62.19</v>
      </c>
      <c r="G48" s="2">
        <v>120</v>
      </c>
      <c r="H48">
        <v>4</v>
      </c>
      <c r="I48" t="s">
        <v>22</v>
      </c>
      <c r="J48">
        <v>4.3</v>
      </c>
      <c r="K48" s="3">
        <f t="shared" si="0"/>
        <v>57.81</v>
      </c>
      <c r="L48" s="2">
        <f t="shared" si="1"/>
        <v>11.562000000000001</v>
      </c>
      <c r="M48" t="s">
        <v>62</v>
      </c>
      <c r="N48" t="s">
        <v>63</v>
      </c>
      <c r="O48" t="s">
        <v>31</v>
      </c>
    </row>
    <row r="49" spans="1:15" x14ac:dyDescent="0.25">
      <c r="A49" s="1">
        <v>45297</v>
      </c>
      <c r="B49" t="s">
        <v>16</v>
      </c>
      <c r="C49" t="s">
        <v>17</v>
      </c>
      <c r="D49" t="s">
        <v>24</v>
      </c>
      <c r="E49" t="s">
        <v>14</v>
      </c>
      <c r="F49" s="2">
        <v>89.48</v>
      </c>
      <c r="G49" s="2">
        <v>120</v>
      </c>
      <c r="H49">
        <v>10</v>
      </c>
      <c r="I49" t="s">
        <v>15</v>
      </c>
      <c r="J49">
        <v>9.6</v>
      </c>
      <c r="K49" s="3">
        <f t="shared" si="0"/>
        <v>30.519999999999996</v>
      </c>
      <c r="L49" s="2">
        <f t="shared" si="1"/>
        <v>6.1039999999999992</v>
      </c>
      <c r="M49" t="s">
        <v>64</v>
      </c>
      <c r="N49" t="s">
        <v>65</v>
      </c>
      <c r="O49" t="s">
        <v>29</v>
      </c>
    </row>
    <row r="50" spans="1:15" x14ac:dyDescent="0.25">
      <c r="A50" s="1">
        <v>45297</v>
      </c>
      <c r="B50" t="s">
        <v>21</v>
      </c>
      <c r="C50" t="s">
        <v>17</v>
      </c>
      <c r="D50" t="s">
        <v>13</v>
      </c>
      <c r="E50" t="s">
        <v>20</v>
      </c>
      <c r="F50" s="2">
        <v>15.34</v>
      </c>
      <c r="G50" s="2">
        <v>120</v>
      </c>
      <c r="H50">
        <v>1</v>
      </c>
      <c r="I50" t="s">
        <v>19</v>
      </c>
      <c r="J50">
        <v>6.5</v>
      </c>
      <c r="K50" s="3">
        <f t="shared" si="0"/>
        <v>104.66</v>
      </c>
      <c r="L50" s="2">
        <f t="shared" si="1"/>
        <v>20.932000000000002</v>
      </c>
      <c r="M50" t="s">
        <v>66</v>
      </c>
      <c r="N50" t="s">
        <v>67</v>
      </c>
      <c r="O50" t="s">
        <v>32</v>
      </c>
    </row>
    <row r="51" spans="1:15" x14ac:dyDescent="0.25">
      <c r="A51" s="1">
        <v>45297</v>
      </c>
      <c r="B51" t="s">
        <v>11</v>
      </c>
      <c r="C51" t="s">
        <v>12</v>
      </c>
      <c r="D51" t="s">
        <v>24</v>
      </c>
      <c r="E51" t="s">
        <v>26</v>
      </c>
      <c r="F51" s="2">
        <v>80.47</v>
      </c>
      <c r="G51" s="2">
        <v>120</v>
      </c>
      <c r="H51">
        <v>9</v>
      </c>
      <c r="I51" t="s">
        <v>19</v>
      </c>
      <c r="J51">
        <v>9.1999999999999993</v>
      </c>
      <c r="K51" s="3">
        <f t="shared" si="0"/>
        <v>39.53</v>
      </c>
      <c r="L51" s="2">
        <f t="shared" si="1"/>
        <v>7.9060000000000006</v>
      </c>
      <c r="M51" t="s">
        <v>68</v>
      </c>
      <c r="N51" t="s">
        <v>69</v>
      </c>
      <c r="O51" t="s">
        <v>31</v>
      </c>
    </row>
    <row r="52" spans="1:15" x14ac:dyDescent="0.25">
      <c r="A52" s="1">
        <v>45297</v>
      </c>
      <c r="B52" t="s">
        <v>21</v>
      </c>
      <c r="C52" t="s">
        <v>12</v>
      </c>
      <c r="D52" t="s">
        <v>24</v>
      </c>
      <c r="E52" t="s">
        <v>25</v>
      </c>
      <c r="F52" s="2">
        <v>58.9</v>
      </c>
      <c r="G52" s="2">
        <v>120</v>
      </c>
      <c r="H52">
        <v>8</v>
      </c>
      <c r="I52" t="s">
        <v>19</v>
      </c>
      <c r="J52">
        <v>8.9</v>
      </c>
      <c r="K52" s="3">
        <f t="shared" si="0"/>
        <v>61.1</v>
      </c>
      <c r="L52" s="2">
        <f t="shared" si="1"/>
        <v>12.22</v>
      </c>
      <c r="M52" t="s">
        <v>70</v>
      </c>
      <c r="N52" t="s">
        <v>67</v>
      </c>
      <c r="O52" t="s">
        <v>32</v>
      </c>
    </row>
    <row r="53" spans="1:15" x14ac:dyDescent="0.25">
      <c r="A53" s="1">
        <v>45297</v>
      </c>
      <c r="B53" t="s">
        <v>16</v>
      </c>
      <c r="C53" t="s">
        <v>17</v>
      </c>
      <c r="D53" t="s">
        <v>13</v>
      </c>
      <c r="E53" t="s">
        <v>23</v>
      </c>
      <c r="F53" s="2">
        <v>81.680000000000007</v>
      </c>
      <c r="G53" s="2">
        <v>120</v>
      </c>
      <c r="H53">
        <v>4</v>
      </c>
      <c r="I53" t="s">
        <v>19</v>
      </c>
      <c r="J53">
        <v>9.1</v>
      </c>
      <c r="K53" s="3">
        <f t="shared" si="0"/>
        <v>38.319999999999993</v>
      </c>
      <c r="L53" s="2">
        <f t="shared" si="1"/>
        <v>7.6639999999999988</v>
      </c>
      <c r="M53" t="s">
        <v>39</v>
      </c>
      <c r="N53" t="s">
        <v>40</v>
      </c>
      <c r="O53" t="s">
        <v>33</v>
      </c>
    </row>
    <row r="54" spans="1:15" x14ac:dyDescent="0.25">
      <c r="A54" s="1">
        <v>45297</v>
      </c>
      <c r="B54" t="s">
        <v>21</v>
      </c>
      <c r="C54" t="s">
        <v>17</v>
      </c>
      <c r="D54" t="s">
        <v>13</v>
      </c>
      <c r="E54" t="s">
        <v>14</v>
      </c>
      <c r="F54" s="2">
        <v>40.94</v>
      </c>
      <c r="G54" s="2">
        <v>120</v>
      </c>
      <c r="H54">
        <v>5</v>
      </c>
      <c r="I54" t="s">
        <v>22</v>
      </c>
      <c r="J54">
        <v>9.9</v>
      </c>
      <c r="K54" s="3">
        <f t="shared" si="0"/>
        <v>79.06</v>
      </c>
      <c r="L54" s="2">
        <f t="shared" si="1"/>
        <v>15.812000000000001</v>
      </c>
      <c r="M54" t="s">
        <v>41</v>
      </c>
      <c r="N54" t="s">
        <v>42</v>
      </c>
      <c r="O54" t="s">
        <v>34</v>
      </c>
    </row>
    <row r="55" spans="1:15" x14ac:dyDescent="0.25">
      <c r="A55" s="1">
        <v>45297</v>
      </c>
      <c r="B55" t="s">
        <v>21</v>
      </c>
      <c r="C55" t="s">
        <v>17</v>
      </c>
      <c r="D55" t="s">
        <v>24</v>
      </c>
      <c r="E55" t="s">
        <v>20</v>
      </c>
      <c r="F55" s="2">
        <v>64.59</v>
      </c>
      <c r="G55" s="2">
        <v>120</v>
      </c>
      <c r="H55">
        <v>4</v>
      </c>
      <c r="I55" t="s">
        <v>22</v>
      </c>
      <c r="J55">
        <v>9.3000000000000007</v>
      </c>
      <c r="K55" s="3">
        <f t="shared" si="0"/>
        <v>55.41</v>
      </c>
      <c r="L55" s="2">
        <f t="shared" si="1"/>
        <v>11.082000000000001</v>
      </c>
      <c r="M55" t="s">
        <v>43</v>
      </c>
      <c r="N55" t="s">
        <v>44</v>
      </c>
      <c r="O55" t="s">
        <v>35</v>
      </c>
    </row>
    <row r="56" spans="1:15" x14ac:dyDescent="0.25">
      <c r="A56" s="1">
        <v>45297</v>
      </c>
      <c r="B56" t="s">
        <v>21</v>
      </c>
      <c r="C56" t="s">
        <v>17</v>
      </c>
      <c r="D56" t="s">
        <v>13</v>
      </c>
      <c r="E56" t="s">
        <v>23</v>
      </c>
      <c r="F56" s="2">
        <v>42.57</v>
      </c>
      <c r="G56" s="2">
        <v>120</v>
      </c>
      <c r="H56">
        <v>7</v>
      </c>
      <c r="I56" t="s">
        <v>19</v>
      </c>
      <c r="J56">
        <v>6.8</v>
      </c>
      <c r="K56" s="3">
        <f t="shared" si="0"/>
        <v>77.430000000000007</v>
      </c>
      <c r="L56" s="2">
        <f t="shared" si="1"/>
        <v>15.486000000000002</v>
      </c>
      <c r="M56" t="s">
        <v>45</v>
      </c>
      <c r="N56" t="s">
        <v>46</v>
      </c>
      <c r="O56" t="s">
        <v>36</v>
      </c>
    </row>
    <row r="57" spans="1:15" x14ac:dyDescent="0.25">
      <c r="A57" s="1">
        <v>45298</v>
      </c>
      <c r="B57" t="s">
        <v>11</v>
      </c>
      <c r="C57" t="s">
        <v>17</v>
      </c>
      <c r="D57" t="s">
        <v>24</v>
      </c>
      <c r="E57" t="s">
        <v>23</v>
      </c>
      <c r="F57" s="2">
        <v>47.97</v>
      </c>
      <c r="G57" s="2">
        <v>120</v>
      </c>
      <c r="H57">
        <v>7</v>
      </c>
      <c r="I57" t="s">
        <v>19</v>
      </c>
      <c r="J57">
        <v>6.2</v>
      </c>
      <c r="K57" s="3">
        <f t="shared" si="0"/>
        <v>72.03</v>
      </c>
      <c r="L57" s="2">
        <f t="shared" si="1"/>
        <v>14.406000000000001</v>
      </c>
      <c r="M57" t="s">
        <v>47</v>
      </c>
      <c r="N57" t="s">
        <v>48</v>
      </c>
      <c r="O57" t="s">
        <v>37</v>
      </c>
    </row>
    <row r="58" spans="1:15" x14ac:dyDescent="0.25">
      <c r="A58" s="1">
        <v>45298</v>
      </c>
      <c r="B58" t="s">
        <v>16</v>
      </c>
      <c r="C58" t="s">
        <v>12</v>
      </c>
      <c r="D58" t="s">
        <v>13</v>
      </c>
      <c r="E58" t="s">
        <v>25</v>
      </c>
      <c r="F58" s="2">
        <v>21.82</v>
      </c>
      <c r="G58" s="2">
        <v>120</v>
      </c>
      <c r="H58">
        <v>10</v>
      </c>
      <c r="I58" t="s">
        <v>19</v>
      </c>
      <c r="J58">
        <v>7.1</v>
      </c>
      <c r="K58" s="3">
        <f t="shared" si="0"/>
        <v>98.18</v>
      </c>
      <c r="L58" s="2">
        <f t="shared" si="1"/>
        <v>19.636000000000003</v>
      </c>
      <c r="M58" t="s">
        <v>49</v>
      </c>
      <c r="N58" t="s">
        <v>50</v>
      </c>
      <c r="O58" t="s">
        <v>38</v>
      </c>
    </row>
    <row r="59" spans="1:15" x14ac:dyDescent="0.25">
      <c r="A59" s="1">
        <v>45298</v>
      </c>
      <c r="B59" t="s">
        <v>16</v>
      </c>
      <c r="C59" t="s">
        <v>17</v>
      </c>
      <c r="D59" t="s">
        <v>24</v>
      </c>
      <c r="E59" t="s">
        <v>14</v>
      </c>
      <c r="F59" s="2">
        <v>27.22</v>
      </c>
      <c r="G59" s="2">
        <v>120</v>
      </c>
      <c r="H59">
        <v>3</v>
      </c>
      <c r="I59" t="s">
        <v>19</v>
      </c>
      <c r="J59">
        <v>7.3</v>
      </c>
      <c r="K59" s="3">
        <f t="shared" si="0"/>
        <v>92.78</v>
      </c>
      <c r="L59" s="2">
        <f t="shared" si="1"/>
        <v>18.556000000000001</v>
      </c>
      <c r="M59" t="s">
        <v>51</v>
      </c>
      <c r="N59" t="s">
        <v>52</v>
      </c>
      <c r="O59" t="s">
        <v>28</v>
      </c>
    </row>
    <row r="60" spans="1:15" x14ac:dyDescent="0.25">
      <c r="A60" s="1">
        <v>45298</v>
      </c>
      <c r="B60" t="s">
        <v>16</v>
      </c>
      <c r="C60" t="s">
        <v>12</v>
      </c>
      <c r="D60" t="s">
        <v>13</v>
      </c>
      <c r="E60" t="s">
        <v>20</v>
      </c>
      <c r="F60" s="2">
        <v>68.12</v>
      </c>
      <c r="G60" s="2">
        <v>120</v>
      </c>
      <c r="H60">
        <v>1</v>
      </c>
      <c r="I60" t="s">
        <v>22</v>
      </c>
      <c r="J60">
        <v>6.8</v>
      </c>
      <c r="K60" s="3">
        <f t="shared" si="0"/>
        <v>51.879999999999995</v>
      </c>
      <c r="L60" s="2">
        <f t="shared" si="1"/>
        <v>10.375999999999999</v>
      </c>
      <c r="M60" t="s">
        <v>53</v>
      </c>
      <c r="N60" t="s">
        <v>54</v>
      </c>
      <c r="O60" t="s">
        <v>29</v>
      </c>
    </row>
    <row r="61" spans="1:15" x14ac:dyDescent="0.25">
      <c r="A61" s="1">
        <v>45298</v>
      </c>
      <c r="B61" t="s">
        <v>21</v>
      </c>
      <c r="C61" t="s">
        <v>12</v>
      </c>
      <c r="D61" t="s">
        <v>24</v>
      </c>
      <c r="E61" t="s">
        <v>18</v>
      </c>
      <c r="F61" s="2">
        <v>77.72</v>
      </c>
      <c r="G61" s="2">
        <v>120</v>
      </c>
      <c r="H61">
        <v>4</v>
      </c>
      <c r="I61" t="s">
        <v>15</v>
      </c>
      <c r="J61">
        <v>8.8000000000000007</v>
      </c>
      <c r="K61" s="3">
        <f t="shared" si="0"/>
        <v>42.28</v>
      </c>
      <c r="L61" s="2">
        <f t="shared" si="1"/>
        <v>8.4560000000000013</v>
      </c>
      <c r="M61" t="s">
        <v>55</v>
      </c>
      <c r="N61" t="s">
        <v>56</v>
      </c>
      <c r="O61" t="s">
        <v>30</v>
      </c>
    </row>
    <row r="62" spans="1:15" x14ac:dyDescent="0.25">
      <c r="A62" s="1">
        <v>45298</v>
      </c>
      <c r="B62" t="s">
        <v>21</v>
      </c>
      <c r="C62" t="s">
        <v>12</v>
      </c>
      <c r="D62" t="s">
        <v>13</v>
      </c>
      <c r="E62" t="s">
        <v>25</v>
      </c>
      <c r="F62" s="2">
        <v>21.54</v>
      </c>
      <c r="G62" s="2">
        <v>120</v>
      </c>
      <c r="H62">
        <v>9</v>
      </c>
      <c r="I62" t="s">
        <v>15</v>
      </c>
      <c r="J62">
        <v>8.8000000000000007</v>
      </c>
      <c r="K62" s="3">
        <f t="shared" si="0"/>
        <v>98.460000000000008</v>
      </c>
      <c r="L62" s="2">
        <f t="shared" si="1"/>
        <v>19.692000000000004</v>
      </c>
      <c r="M62" t="s">
        <v>57</v>
      </c>
      <c r="N62" t="s">
        <v>58</v>
      </c>
      <c r="O62" t="s">
        <v>31</v>
      </c>
    </row>
    <row r="63" spans="1:15" x14ac:dyDescent="0.25">
      <c r="A63" s="1">
        <v>45298</v>
      </c>
      <c r="B63" t="s">
        <v>11</v>
      </c>
      <c r="C63" t="s">
        <v>12</v>
      </c>
      <c r="D63" t="s">
        <v>13</v>
      </c>
      <c r="E63" t="s">
        <v>23</v>
      </c>
      <c r="F63" s="2">
        <v>97.61</v>
      </c>
      <c r="G63" s="2">
        <v>120</v>
      </c>
      <c r="H63">
        <v>6</v>
      </c>
      <c r="I63" t="s">
        <v>22</v>
      </c>
      <c r="J63">
        <v>9.9</v>
      </c>
      <c r="K63" s="3">
        <f t="shared" si="0"/>
        <v>22.39</v>
      </c>
      <c r="L63" s="2">
        <f t="shared" si="1"/>
        <v>4.4780000000000006</v>
      </c>
      <c r="M63" t="s">
        <v>59</v>
      </c>
      <c r="N63" t="s">
        <v>60</v>
      </c>
      <c r="O63" t="s">
        <v>31</v>
      </c>
    </row>
    <row r="64" spans="1:15" x14ac:dyDescent="0.25">
      <c r="A64" s="1">
        <v>45298</v>
      </c>
      <c r="B64" t="s">
        <v>21</v>
      </c>
      <c r="C64" t="s">
        <v>17</v>
      </c>
      <c r="D64" t="s">
        <v>24</v>
      </c>
      <c r="E64" t="s">
        <v>20</v>
      </c>
      <c r="F64" s="2">
        <v>60.95</v>
      </c>
      <c r="G64" s="2">
        <v>120</v>
      </c>
      <c r="H64">
        <v>9</v>
      </c>
      <c r="I64" t="s">
        <v>15</v>
      </c>
      <c r="J64">
        <v>6</v>
      </c>
      <c r="K64" s="3">
        <f t="shared" si="0"/>
        <v>59.05</v>
      </c>
      <c r="L64" s="2">
        <f t="shared" si="1"/>
        <v>11.81</v>
      </c>
      <c r="M64" t="s">
        <v>59</v>
      </c>
      <c r="N64" t="s">
        <v>61</v>
      </c>
      <c r="O64" t="s">
        <v>31</v>
      </c>
    </row>
    <row r="65" spans="1:15" x14ac:dyDescent="0.25">
      <c r="A65" s="1">
        <v>45298</v>
      </c>
      <c r="B65" t="s">
        <v>11</v>
      </c>
      <c r="C65" t="s">
        <v>12</v>
      </c>
      <c r="D65" t="s">
        <v>13</v>
      </c>
      <c r="E65" t="s">
        <v>14</v>
      </c>
      <c r="F65" s="2">
        <v>89.14</v>
      </c>
      <c r="G65" s="2">
        <v>120</v>
      </c>
      <c r="H65">
        <v>4</v>
      </c>
      <c r="I65" t="s">
        <v>15</v>
      </c>
      <c r="J65">
        <v>7.8</v>
      </c>
      <c r="K65" s="3">
        <f t="shared" si="0"/>
        <v>30.86</v>
      </c>
      <c r="L65" s="2">
        <f t="shared" si="1"/>
        <v>6.1720000000000006</v>
      </c>
      <c r="M65" t="s">
        <v>62</v>
      </c>
      <c r="N65" t="s">
        <v>63</v>
      </c>
      <c r="O65" t="s">
        <v>28</v>
      </c>
    </row>
    <row r="66" spans="1:15" x14ac:dyDescent="0.25">
      <c r="A66" s="1">
        <v>45299</v>
      </c>
      <c r="B66" t="s">
        <v>16</v>
      </c>
      <c r="C66" t="s">
        <v>12</v>
      </c>
      <c r="D66" t="s">
        <v>13</v>
      </c>
      <c r="E66" t="s">
        <v>23</v>
      </c>
      <c r="F66" s="2">
        <v>51.89</v>
      </c>
      <c r="G66" s="2">
        <v>120</v>
      </c>
      <c r="H66">
        <v>7</v>
      </c>
      <c r="I66" t="s">
        <v>19</v>
      </c>
      <c r="J66">
        <v>4.5</v>
      </c>
      <c r="K66" s="3">
        <f t="shared" ref="K66:K129" si="2">G66-F66</f>
        <v>68.11</v>
      </c>
      <c r="L66" s="2">
        <f t="shared" ref="L66:L129" si="3">IF(G66&gt;30,K66*0.2,G66*0.1)</f>
        <v>13.622</v>
      </c>
      <c r="M66" t="s">
        <v>64</v>
      </c>
      <c r="N66" t="s">
        <v>65</v>
      </c>
      <c r="O66" t="s">
        <v>28</v>
      </c>
    </row>
    <row r="67" spans="1:15" x14ac:dyDescent="0.25">
      <c r="A67" s="1">
        <v>45299</v>
      </c>
      <c r="B67" t="s">
        <v>11</v>
      </c>
      <c r="C67" t="s">
        <v>12</v>
      </c>
      <c r="D67" t="s">
        <v>13</v>
      </c>
      <c r="E67" t="s">
        <v>14</v>
      </c>
      <c r="F67" s="2">
        <v>33.21</v>
      </c>
      <c r="G67" s="2">
        <v>120</v>
      </c>
      <c r="H67">
        <v>10</v>
      </c>
      <c r="I67" t="s">
        <v>22</v>
      </c>
      <c r="J67">
        <v>6</v>
      </c>
      <c r="K67" s="3">
        <f t="shared" si="2"/>
        <v>86.789999999999992</v>
      </c>
      <c r="L67" s="2">
        <f t="shared" si="3"/>
        <v>17.358000000000001</v>
      </c>
      <c r="M67" t="s">
        <v>66</v>
      </c>
      <c r="N67" t="s">
        <v>67</v>
      </c>
      <c r="O67" t="s">
        <v>31</v>
      </c>
    </row>
    <row r="68" spans="1:15" x14ac:dyDescent="0.25">
      <c r="A68" s="1">
        <v>45299</v>
      </c>
      <c r="B68" t="s">
        <v>16</v>
      </c>
      <c r="C68" t="s">
        <v>17</v>
      </c>
      <c r="D68" t="s">
        <v>13</v>
      </c>
      <c r="E68" t="s">
        <v>23</v>
      </c>
      <c r="F68" s="2">
        <v>31.73</v>
      </c>
      <c r="G68" s="2">
        <v>120</v>
      </c>
      <c r="H68">
        <v>9</v>
      </c>
      <c r="I68" t="s">
        <v>15</v>
      </c>
      <c r="J68">
        <v>5.9</v>
      </c>
      <c r="K68" s="3">
        <f t="shared" si="2"/>
        <v>88.27</v>
      </c>
      <c r="L68" s="2">
        <f t="shared" si="3"/>
        <v>17.654</v>
      </c>
      <c r="M68" t="s">
        <v>68</v>
      </c>
      <c r="N68" t="s">
        <v>69</v>
      </c>
      <c r="O68" t="s">
        <v>29</v>
      </c>
    </row>
    <row r="69" spans="1:15" x14ac:dyDescent="0.25">
      <c r="A69" s="1">
        <v>45299</v>
      </c>
      <c r="B69" t="s">
        <v>11</v>
      </c>
      <c r="C69" t="s">
        <v>12</v>
      </c>
      <c r="D69" t="s">
        <v>13</v>
      </c>
      <c r="E69" t="s">
        <v>25</v>
      </c>
      <c r="F69" s="2">
        <v>49.1</v>
      </c>
      <c r="G69" s="2">
        <v>120</v>
      </c>
      <c r="H69">
        <v>2</v>
      </c>
      <c r="I69" t="s">
        <v>15</v>
      </c>
      <c r="J69">
        <v>6.4</v>
      </c>
      <c r="K69" s="3">
        <f t="shared" si="2"/>
        <v>70.900000000000006</v>
      </c>
      <c r="L69" s="2">
        <f t="shared" si="3"/>
        <v>14.180000000000001</v>
      </c>
      <c r="M69" t="s">
        <v>70</v>
      </c>
      <c r="N69" t="s">
        <v>67</v>
      </c>
      <c r="O69" t="s">
        <v>32</v>
      </c>
    </row>
    <row r="70" spans="1:15" x14ac:dyDescent="0.25">
      <c r="A70" s="1">
        <v>45299</v>
      </c>
      <c r="B70" t="s">
        <v>16</v>
      </c>
      <c r="C70" t="s">
        <v>17</v>
      </c>
      <c r="D70" t="s">
        <v>13</v>
      </c>
      <c r="E70" t="s">
        <v>25</v>
      </c>
      <c r="F70" s="2">
        <v>45.38</v>
      </c>
      <c r="G70" s="2">
        <v>120</v>
      </c>
      <c r="H70">
        <v>4</v>
      </c>
      <c r="I70" t="s">
        <v>15</v>
      </c>
      <c r="J70">
        <v>8.6999999999999993</v>
      </c>
      <c r="K70" s="3">
        <f t="shared" si="2"/>
        <v>74.62</v>
      </c>
      <c r="L70" s="2">
        <f t="shared" si="3"/>
        <v>14.924000000000001</v>
      </c>
      <c r="M70" t="s">
        <v>39</v>
      </c>
      <c r="N70" t="s">
        <v>40</v>
      </c>
      <c r="O70" t="s">
        <v>31</v>
      </c>
    </row>
    <row r="71" spans="1:15" x14ac:dyDescent="0.25">
      <c r="A71" s="1">
        <v>45299</v>
      </c>
      <c r="B71" t="s">
        <v>16</v>
      </c>
      <c r="C71" t="s">
        <v>12</v>
      </c>
      <c r="D71" t="s">
        <v>24</v>
      </c>
      <c r="E71" t="s">
        <v>25</v>
      </c>
      <c r="F71" s="2">
        <v>55.57</v>
      </c>
      <c r="G71" s="2">
        <v>120</v>
      </c>
      <c r="H71">
        <v>3</v>
      </c>
      <c r="I71" t="s">
        <v>15</v>
      </c>
      <c r="J71">
        <v>5.9</v>
      </c>
      <c r="K71" s="3">
        <f t="shared" si="2"/>
        <v>64.430000000000007</v>
      </c>
      <c r="L71" s="2">
        <f t="shared" si="3"/>
        <v>12.886000000000003</v>
      </c>
      <c r="M71" t="s">
        <v>41</v>
      </c>
      <c r="N71" t="s">
        <v>42</v>
      </c>
      <c r="O71" t="s">
        <v>32</v>
      </c>
    </row>
    <row r="72" spans="1:15" x14ac:dyDescent="0.25">
      <c r="A72" s="1">
        <v>45299</v>
      </c>
      <c r="B72" t="s">
        <v>16</v>
      </c>
      <c r="C72" t="s">
        <v>12</v>
      </c>
      <c r="D72" t="s">
        <v>13</v>
      </c>
      <c r="E72" t="s">
        <v>14</v>
      </c>
      <c r="F72" s="2">
        <v>68.540000000000006</v>
      </c>
      <c r="G72" s="2">
        <v>120</v>
      </c>
      <c r="H72">
        <v>8</v>
      </c>
      <c r="I72" t="s">
        <v>22</v>
      </c>
      <c r="J72">
        <v>8.5</v>
      </c>
      <c r="K72" s="3">
        <f t="shared" si="2"/>
        <v>51.459999999999994</v>
      </c>
      <c r="L72" s="2">
        <f t="shared" si="3"/>
        <v>10.292</v>
      </c>
      <c r="M72" t="s">
        <v>43</v>
      </c>
      <c r="N72" t="s">
        <v>44</v>
      </c>
      <c r="O72" t="s">
        <v>33</v>
      </c>
    </row>
    <row r="73" spans="1:15" x14ac:dyDescent="0.25">
      <c r="A73" s="1">
        <v>45299</v>
      </c>
      <c r="B73" t="s">
        <v>11</v>
      </c>
      <c r="C73" t="s">
        <v>12</v>
      </c>
      <c r="D73" t="s">
        <v>24</v>
      </c>
      <c r="E73" t="s">
        <v>23</v>
      </c>
      <c r="F73" s="2">
        <v>65.23</v>
      </c>
      <c r="G73" s="2">
        <v>120</v>
      </c>
      <c r="H73">
        <v>10</v>
      </c>
      <c r="I73" t="s">
        <v>15</v>
      </c>
      <c r="J73">
        <v>5.2</v>
      </c>
      <c r="K73" s="3">
        <f t="shared" si="2"/>
        <v>54.769999999999996</v>
      </c>
      <c r="L73" s="2">
        <f t="shared" si="3"/>
        <v>10.954000000000001</v>
      </c>
      <c r="M73" t="s">
        <v>45</v>
      </c>
      <c r="N73" t="s">
        <v>46</v>
      </c>
      <c r="O73" t="s">
        <v>34</v>
      </c>
    </row>
    <row r="74" spans="1:15" x14ac:dyDescent="0.25">
      <c r="A74" s="1">
        <v>45299</v>
      </c>
      <c r="B74" t="s">
        <v>16</v>
      </c>
      <c r="C74" t="s">
        <v>17</v>
      </c>
      <c r="D74" t="s">
        <v>24</v>
      </c>
      <c r="E74" t="s">
        <v>23</v>
      </c>
      <c r="F74" s="2">
        <v>12.78</v>
      </c>
      <c r="G74" s="2">
        <v>120</v>
      </c>
      <c r="H74">
        <v>1</v>
      </c>
      <c r="I74" t="s">
        <v>22</v>
      </c>
      <c r="J74">
        <v>9.5</v>
      </c>
      <c r="K74" s="3">
        <f t="shared" si="2"/>
        <v>107.22</v>
      </c>
      <c r="L74" s="2">
        <f t="shared" si="3"/>
        <v>21.444000000000003</v>
      </c>
      <c r="M74" t="s">
        <v>47</v>
      </c>
      <c r="N74" t="s">
        <v>48</v>
      </c>
      <c r="O74" t="s">
        <v>35</v>
      </c>
    </row>
    <row r="75" spans="1:15" x14ac:dyDescent="0.25">
      <c r="A75" s="1">
        <v>45299</v>
      </c>
      <c r="B75" t="s">
        <v>11</v>
      </c>
      <c r="C75" t="s">
        <v>12</v>
      </c>
      <c r="D75" t="s">
        <v>13</v>
      </c>
      <c r="E75" t="s">
        <v>14</v>
      </c>
      <c r="F75" s="2">
        <v>74.599999999999994</v>
      </c>
      <c r="G75" s="2">
        <v>120</v>
      </c>
      <c r="H75">
        <v>10</v>
      </c>
      <c r="I75" t="s">
        <v>19</v>
      </c>
      <c r="J75">
        <v>9.5</v>
      </c>
      <c r="K75" s="3">
        <f t="shared" si="2"/>
        <v>45.400000000000006</v>
      </c>
      <c r="L75" s="2">
        <f t="shared" si="3"/>
        <v>9.0800000000000018</v>
      </c>
      <c r="M75" t="s">
        <v>49</v>
      </c>
      <c r="N75" t="s">
        <v>50</v>
      </c>
      <c r="O75" t="s">
        <v>36</v>
      </c>
    </row>
    <row r="76" spans="1:15" x14ac:dyDescent="0.25">
      <c r="A76" s="1">
        <v>45299</v>
      </c>
      <c r="B76" t="s">
        <v>11</v>
      </c>
      <c r="C76" t="s">
        <v>12</v>
      </c>
      <c r="D76" t="s">
        <v>13</v>
      </c>
      <c r="E76" t="s">
        <v>20</v>
      </c>
      <c r="F76" s="2">
        <v>64.83</v>
      </c>
      <c r="G76" s="2">
        <v>120</v>
      </c>
      <c r="H76">
        <v>2</v>
      </c>
      <c r="I76" t="s">
        <v>15</v>
      </c>
      <c r="J76">
        <v>8</v>
      </c>
      <c r="K76" s="3">
        <f t="shared" si="2"/>
        <v>55.17</v>
      </c>
      <c r="L76" s="2">
        <f t="shared" si="3"/>
        <v>11.034000000000001</v>
      </c>
      <c r="M76" t="s">
        <v>51</v>
      </c>
      <c r="N76" t="s">
        <v>52</v>
      </c>
      <c r="O76" t="s">
        <v>37</v>
      </c>
    </row>
    <row r="77" spans="1:15" x14ac:dyDescent="0.25">
      <c r="A77" s="1">
        <v>45299</v>
      </c>
      <c r="B77" t="s">
        <v>21</v>
      </c>
      <c r="C77" t="s">
        <v>17</v>
      </c>
      <c r="D77" t="s">
        <v>24</v>
      </c>
      <c r="E77" t="s">
        <v>20</v>
      </c>
      <c r="F77" s="2">
        <v>37.14</v>
      </c>
      <c r="G77" s="2">
        <v>120</v>
      </c>
      <c r="H77">
        <v>5</v>
      </c>
      <c r="I77" t="s">
        <v>22</v>
      </c>
      <c r="J77">
        <v>5</v>
      </c>
      <c r="K77" s="3">
        <f t="shared" si="2"/>
        <v>82.86</v>
      </c>
      <c r="L77" s="2">
        <f t="shared" si="3"/>
        <v>16.571999999999999</v>
      </c>
      <c r="M77" t="s">
        <v>53</v>
      </c>
      <c r="N77" t="s">
        <v>54</v>
      </c>
      <c r="O77" t="s">
        <v>38</v>
      </c>
    </row>
    <row r="78" spans="1:15" x14ac:dyDescent="0.25">
      <c r="A78" s="1">
        <v>45299</v>
      </c>
      <c r="B78" t="s">
        <v>21</v>
      </c>
      <c r="C78" t="s">
        <v>17</v>
      </c>
      <c r="D78" t="s">
        <v>13</v>
      </c>
      <c r="E78" t="s">
        <v>18</v>
      </c>
      <c r="F78" s="2">
        <v>50.23</v>
      </c>
      <c r="G78" s="2">
        <v>120</v>
      </c>
      <c r="H78">
        <v>4</v>
      </c>
      <c r="I78" t="s">
        <v>19</v>
      </c>
      <c r="J78">
        <v>9</v>
      </c>
      <c r="K78" s="3">
        <f t="shared" si="2"/>
        <v>69.77000000000001</v>
      </c>
      <c r="L78" s="2">
        <f t="shared" si="3"/>
        <v>13.954000000000002</v>
      </c>
      <c r="M78" t="s">
        <v>55</v>
      </c>
      <c r="N78" t="s">
        <v>56</v>
      </c>
      <c r="O78" t="s">
        <v>28</v>
      </c>
    </row>
    <row r="79" spans="1:15" x14ac:dyDescent="0.25">
      <c r="A79" s="1">
        <v>45299</v>
      </c>
      <c r="B79" t="s">
        <v>21</v>
      </c>
      <c r="C79" t="s">
        <v>12</v>
      </c>
      <c r="D79" t="s">
        <v>24</v>
      </c>
      <c r="E79" t="s">
        <v>20</v>
      </c>
      <c r="F79" s="2">
        <v>12.76</v>
      </c>
      <c r="G79" s="2">
        <v>120</v>
      </c>
      <c r="H79">
        <v>2</v>
      </c>
      <c r="I79" t="s">
        <v>22</v>
      </c>
      <c r="J79">
        <v>7.8</v>
      </c>
      <c r="K79" s="3">
        <f t="shared" si="2"/>
        <v>107.24</v>
      </c>
      <c r="L79" s="2">
        <f t="shared" si="3"/>
        <v>21.448</v>
      </c>
      <c r="M79" t="s">
        <v>57</v>
      </c>
      <c r="N79" t="s">
        <v>58</v>
      </c>
      <c r="O79" t="s">
        <v>29</v>
      </c>
    </row>
    <row r="80" spans="1:15" x14ac:dyDescent="0.25">
      <c r="A80" s="1">
        <v>45299</v>
      </c>
      <c r="B80" t="s">
        <v>21</v>
      </c>
      <c r="C80" t="s">
        <v>12</v>
      </c>
      <c r="D80" t="s">
        <v>13</v>
      </c>
      <c r="E80" t="s">
        <v>18</v>
      </c>
      <c r="F80" s="2">
        <v>79.59</v>
      </c>
      <c r="G80" s="2">
        <v>120</v>
      </c>
      <c r="H80">
        <v>3</v>
      </c>
      <c r="I80" t="s">
        <v>19</v>
      </c>
      <c r="J80">
        <v>6.6</v>
      </c>
      <c r="K80" s="3">
        <f t="shared" si="2"/>
        <v>40.409999999999997</v>
      </c>
      <c r="L80" s="2">
        <f t="shared" si="3"/>
        <v>8.081999999999999</v>
      </c>
      <c r="M80" t="s">
        <v>59</v>
      </c>
      <c r="N80" t="s">
        <v>60</v>
      </c>
      <c r="O80" t="s">
        <v>30</v>
      </c>
    </row>
    <row r="81" spans="1:15" x14ac:dyDescent="0.25">
      <c r="A81" s="1">
        <v>45299</v>
      </c>
      <c r="B81" t="s">
        <v>11</v>
      </c>
      <c r="C81" t="s">
        <v>12</v>
      </c>
      <c r="D81" t="s">
        <v>13</v>
      </c>
      <c r="E81" t="s">
        <v>20</v>
      </c>
      <c r="F81" s="2">
        <v>48.5</v>
      </c>
      <c r="G81" s="2">
        <v>120</v>
      </c>
      <c r="H81">
        <v>3</v>
      </c>
      <c r="I81" t="s">
        <v>19</v>
      </c>
      <c r="J81">
        <v>6.7</v>
      </c>
      <c r="K81" s="3">
        <f t="shared" si="2"/>
        <v>71.5</v>
      </c>
      <c r="L81" s="2">
        <f t="shared" si="3"/>
        <v>14.3</v>
      </c>
      <c r="M81" t="s">
        <v>59</v>
      </c>
      <c r="N81" t="s">
        <v>61</v>
      </c>
      <c r="O81" t="s">
        <v>31</v>
      </c>
    </row>
    <row r="82" spans="1:15" x14ac:dyDescent="0.25">
      <c r="A82" s="1">
        <v>45299</v>
      </c>
      <c r="B82" t="s">
        <v>16</v>
      </c>
      <c r="C82" t="s">
        <v>12</v>
      </c>
      <c r="D82" t="s">
        <v>24</v>
      </c>
      <c r="E82" t="s">
        <v>14</v>
      </c>
      <c r="F82" s="2">
        <v>24.31</v>
      </c>
      <c r="G82" s="2">
        <v>120</v>
      </c>
      <c r="H82">
        <v>3</v>
      </c>
      <c r="I82" t="s">
        <v>15</v>
      </c>
      <c r="J82">
        <v>4.3</v>
      </c>
      <c r="K82" s="3">
        <f t="shared" si="2"/>
        <v>95.69</v>
      </c>
      <c r="L82" s="2">
        <f t="shared" si="3"/>
        <v>19.138000000000002</v>
      </c>
      <c r="M82" t="s">
        <v>62</v>
      </c>
      <c r="N82" t="s">
        <v>63</v>
      </c>
      <c r="O82" t="s">
        <v>31</v>
      </c>
    </row>
    <row r="83" spans="1:15" x14ac:dyDescent="0.25">
      <c r="A83" s="1">
        <v>45299</v>
      </c>
      <c r="B83" t="s">
        <v>16</v>
      </c>
      <c r="C83" t="s">
        <v>12</v>
      </c>
      <c r="D83" t="s">
        <v>13</v>
      </c>
      <c r="E83" t="s">
        <v>14</v>
      </c>
      <c r="F83" s="2">
        <v>72.88</v>
      </c>
      <c r="G83" s="2">
        <v>120</v>
      </c>
      <c r="H83">
        <v>9</v>
      </c>
      <c r="I83" t="s">
        <v>19</v>
      </c>
      <c r="J83">
        <v>4</v>
      </c>
      <c r="K83" s="3">
        <f t="shared" si="2"/>
        <v>47.120000000000005</v>
      </c>
      <c r="L83" s="2">
        <f t="shared" si="3"/>
        <v>9.4240000000000013</v>
      </c>
      <c r="M83" t="s">
        <v>64</v>
      </c>
      <c r="N83" t="s">
        <v>65</v>
      </c>
      <c r="O83" t="s">
        <v>31</v>
      </c>
    </row>
    <row r="84" spans="1:15" x14ac:dyDescent="0.25">
      <c r="A84" s="1">
        <v>45300</v>
      </c>
      <c r="B84" t="s">
        <v>11</v>
      </c>
      <c r="C84" t="s">
        <v>12</v>
      </c>
      <c r="D84" t="s">
        <v>13</v>
      </c>
      <c r="E84" t="s">
        <v>20</v>
      </c>
      <c r="F84" s="2">
        <v>11.85</v>
      </c>
      <c r="G84" s="2">
        <v>120</v>
      </c>
      <c r="H84">
        <v>8</v>
      </c>
      <c r="I84" t="s">
        <v>19</v>
      </c>
      <c r="J84">
        <v>4.0999999999999996</v>
      </c>
      <c r="K84" s="3">
        <f t="shared" si="2"/>
        <v>108.15</v>
      </c>
      <c r="L84" s="2">
        <f t="shared" si="3"/>
        <v>21.630000000000003</v>
      </c>
      <c r="M84" t="s">
        <v>66</v>
      </c>
      <c r="N84" t="s">
        <v>67</v>
      </c>
      <c r="O84" t="s">
        <v>28</v>
      </c>
    </row>
    <row r="85" spans="1:15" x14ac:dyDescent="0.25">
      <c r="A85" s="1">
        <v>45300</v>
      </c>
      <c r="B85" t="s">
        <v>16</v>
      </c>
      <c r="C85" t="s">
        <v>17</v>
      </c>
      <c r="D85" t="s">
        <v>24</v>
      </c>
      <c r="E85" t="s">
        <v>18</v>
      </c>
      <c r="F85" s="2">
        <v>96.37</v>
      </c>
      <c r="G85" s="2">
        <v>120</v>
      </c>
      <c r="H85">
        <v>7</v>
      </c>
      <c r="I85" t="s">
        <v>19</v>
      </c>
      <c r="J85">
        <v>6</v>
      </c>
      <c r="K85" s="3">
        <f t="shared" si="2"/>
        <v>23.629999999999995</v>
      </c>
      <c r="L85" s="2">
        <f t="shared" si="3"/>
        <v>4.7259999999999991</v>
      </c>
      <c r="M85" t="s">
        <v>68</v>
      </c>
      <c r="N85" t="s">
        <v>69</v>
      </c>
      <c r="O85" t="s">
        <v>28</v>
      </c>
    </row>
    <row r="86" spans="1:15" x14ac:dyDescent="0.25">
      <c r="A86" s="1">
        <v>45300</v>
      </c>
      <c r="B86" t="s">
        <v>16</v>
      </c>
      <c r="C86" t="s">
        <v>17</v>
      </c>
      <c r="D86" t="s">
        <v>13</v>
      </c>
      <c r="E86" t="s">
        <v>23</v>
      </c>
      <c r="F86" s="2">
        <v>49.32</v>
      </c>
      <c r="G86" s="2">
        <v>120</v>
      </c>
      <c r="H86">
        <v>6</v>
      </c>
      <c r="I86" t="s">
        <v>22</v>
      </c>
      <c r="J86">
        <v>7.1</v>
      </c>
      <c r="K86" s="3">
        <f t="shared" si="2"/>
        <v>70.680000000000007</v>
      </c>
      <c r="L86" s="2">
        <f t="shared" si="3"/>
        <v>14.136000000000003</v>
      </c>
      <c r="M86" t="s">
        <v>70</v>
      </c>
      <c r="N86" t="s">
        <v>67</v>
      </c>
      <c r="O86" t="s">
        <v>31</v>
      </c>
    </row>
    <row r="87" spans="1:15" x14ac:dyDescent="0.25">
      <c r="A87" s="1">
        <v>45300</v>
      </c>
      <c r="B87" t="s">
        <v>11</v>
      </c>
      <c r="C87" t="s">
        <v>12</v>
      </c>
      <c r="D87" t="s">
        <v>13</v>
      </c>
      <c r="E87" t="s">
        <v>25</v>
      </c>
      <c r="F87" s="2">
        <v>21.9</v>
      </c>
      <c r="G87" s="2">
        <v>120</v>
      </c>
      <c r="H87">
        <v>3</v>
      </c>
      <c r="I87" t="s">
        <v>22</v>
      </c>
      <c r="J87">
        <v>4.7</v>
      </c>
      <c r="K87" s="3">
        <f t="shared" si="2"/>
        <v>98.1</v>
      </c>
      <c r="L87" s="2">
        <f t="shared" si="3"/>
        <v>19.62</v>
      </c>
      <c r="M87" t="s">
        <v>39</v>
      </c>
      <c r="N87" t="s">
        <v>40</v>
      </c>
      <c r="O87" t="s">
        <v>29</v>
      </c>
    </row>
    <row r="88" spans="1:15" x14ac:dyDescent="0.25">
      <c r="A88" s="1">
        <v>45300</v>
      </c>
      <c r="B88" t="s">
        <v>21</v>
      </c>
      <c r="C88" t="s">
        <v>12</v>
      </c>
      <c r="D88" t="s">
        <v>24</v>
      </c>
      <c r="E88" t="s">
        <v>23</v>
      </c>
      <c r="F88" s="2">
        <v>38.54</v>
      </c>
      <c r="G88" s="2">
        <v>120</v>
      </c>
      <c r="H88">
        <v>5</v>
      </c>
      <c r="I88" t="s">
        <v>22</v>
      </c>
      <c r="J88">
        <v>5.6</v>
      </c>
      <c r="K88" s="3">
        <f t="shared" si="2"/>
        <v>81.460000000000008</v>
      </c>
      <c r="L88" s="2">
        <f t="shared" si="3"/>
        <v>16.292000000000002</v>
      </c>
      <c r="M88" t="s">
        <v>41</v>
      </c>
      <c r="N88" t="s">
        <v>42</v>
      </c>
      <c r="O88" t="s">
        <v>32</v>
      </c>
    </row>
    <row r="89" spans="1:15" x14ac:dyDescent="0.25">
      <c r="A89" s="1">
        <v>45300</v>
      </c>
      <c r="B89" t="s">
        <v>16</v>
      </c>
      <c r="C89" t="s">
        <v>12</v>
      </c>
      <c r="D89" t="s">
        <v>24</v>
      </c>
      <c r="E89" t="s">
        <v>23</v>
      </c>
      <c r="F89" s="2">
        <v>49.04</v>
      </c>
      <c r="G89" s="2">
        <v>120</v>
      </c>
      <c r="H89">
        <v>9</v>
      </c>
      <c r="I89" t="s">
        <v>15</v>
      </c>
      <c r="J89">
        <v>8.6</v>
      </c>
      <c r="K89" s="3">
        <f t="shared" si="2"/>
        <v>70.960000000000008</v>
      </c>
      <c r="L89" s="2">
        <f t="shared" si="3"/>
        <v>14.192000000000002</v>
      </c>
      <c r="M89" t="s">
        <v>43</v>
      </c>
      <c r="N89" t="s">
        <v>44</v>
      </c>
      <c r="O89" t="s">
        <v>31</v>
      </c>
    </row>
    <row r="90" spans="1:15" x14ac:dyDescent="0.25">
      <c r="A90" s="1">
        <v>45300</v>
      </c>
      <c r="B90" t="s">
        <v>16</v>
      </c>
      <c r="C90" t="s">
        <v>17</v>
      </c>
      <c r="D90" t="s">
        <v>13</v>
      </c>
      <c r="E90" t="s">
        <v>25</v>
      </c>
      <c r="F90" s="2">
        <v>15.8</v>
      </c>
      <c r="G90" s="2">
        <v>120</v>
      </c>
      <c r="H90">
        <v>10</v>
      </c>
      <c r="I90" t="s">
        <v>19</v>
      </c>
      <c r="J90">
        <v>7.8</v>
      </c>
      <c r="K90" s="3">
        <f t="shared" si="2"/>
        <v>104.2</v>
      </c>
      <c r="L90" s="2">
        <f t="shared" si="3"/>
        <v>20.840000000000003</v>
      </c>
      <c r="M90" t="s">
        <v>45</v>
      </c>
      <c r="N90" t="s">
        <v>46</v>
      </c>
      <c r="O90" t="s">
        <v>32</v>
      </c>
    </row>
    <row r="91" spans="1:15" x14ac:dyDescent="0.25">
      <c r="A91" s="1">
        <v>45300</v>
      </c>
      <c r="B91" t="s">
        <v>16</v>
      </c>
      <c r="C91" t="s">
        <v>17</v>
      </c>
      <c r="D91" t="s">
        <v>13</v>
      </c>
      <c r="E91" t="s">
        <v>20</v>
      </c>
      <c r="F91" s="2">
        <v>95.44</v>
      </c>
      <c r="G91" s="2">
        <v>120</v>
      </c>
      <c r="H91">
        <v>10</v>
      </c>
      <c r="I91" t="s">
        <v>19</v>
      </c>
      <c r="J91">
        <v>5.2</v>
      </c>
      <c r="K91" s="3">
        <f t="shared" si="2"/>
        <v>24.560000000000002</v>
      </c>
      <c r="L91" s="2">
        <f t="shared" si="3"/>
        <v>4.9120000000000008</v>
      </c>
      <c r="M91" t="s">
        <v>47</v>
      </c>
      <c r="N91" t="s">
        <v>48</v>
      </c>
      <c r="O91" t="s">
        <v>33</v>
      </c>
    </row>
    <row r="92" spans="1:15" x14ac:dyDescent="0.25">
      <c r="A92" s="1">
        <v>45301</v>
      </c>
      <c r="B92" t="s">
        <v>11</v>
      </c>
      <c r="C92" t="s">
        <v>17</v>
      </c>
      <c r="D92" t="s">
        <v>13</v>
      </c>
      <c r="E92" t="s">
        <v>23</v>
      </c>
      <c r="F92" s="2">
        <v>79.86</v>
      </c>
      <c r="G92" s="2">
        <v>120</v>
      </c>
      <c r="H92">
        <v>7</v>
      </c>
      <c r="I92" t="s">
        <v>15</v>
      </c>
      <c r="J92">
        <v>5.5</v>
      </c>
      <c r="K92" s="3">
        <f t="shared" si="2"/>
        <v>40.14</v>
      </c>
      <c r="L92" s="2">
        <f t="shared" si="3"/>
        <v>8.0280000000000005</v>
      </c>
      <c r="M92" t="s">
        <v>49</v>
      </c>
      <c r="N92" t="s">
        <v>50</v>
      </c>
      <c r="O92" t="s">
        <v>34</v>
      </c>
    </row>
    <row r="93" spans="1:15" x14ac:dyDescent="0.25">
      <c r="A93" s="1">
        <v>45301</v>
      </c>
      <c r="B93" t="s">
        <v>16</v>
      </c>
      <c r="C93" t="s">
        <v>12</v>
      </c>
      <c r="D93" t="s">
        <v>24</v>
      </c>
      <c r="E93" t="s">
        <v>18</v>
      </c>
      <c r="F93" s="2">
        <v>74.790000000000006</v>
      </c>
      <c r="G93" s="2">
        <v>120</v>
      </c>
      <c r="H93">
        <v>5</v>
      </c>
      <c r="I93" t="s">
        <v>19</v>
      </c>
      <c r="J93">
        <v>4.9000000000000004</v>
      </c>
      <c r="K93" s="3">
        <f t="shared" si="2"/>
        <v>45.209999999999994</v>
      </c>
      <c r="L93" s="2">
        <f t="shared" si="3"/>
        <v>9.0419999999999998</v>
      </c>
      <c r="M93" t="s">
        <v>51</v>
      </c>
      <c r="N93" t="s">
        <v>52</v>
      </c>
      <c r="O93" t="s">
        <v>35</v>
      </c>
    </row>
    <row r="94" spans="1:15" x14ac:dyDescent="0.25">
      <c r="A94" s="1">
        <v>45301</v>
      </c>
      <c r="B94" t="s">
        <v>21</v>
      </c>
      <c r="C94" t="s">
        <v>12</v>
      </c>
      <c r="D94" t="s">
        <v>13</v>
      </c>
      <c r="E94" t="s">
        <v>26</v>
      </c>
      <c r="F94" s="2">
        <v>36.26</v>
      </c>
      <c r="G94" s="2">
        <v>120</v>
      </c>
      <c r="H94">
        <v>2</v>
      </c>
      <c r="I94" t="s">
        <v>15</v>
      </c>
      <c r="J94">
        <v>7.2</v>
      </c>
      <c r="K94" s="3">
        <f t="shared" si="2"/>
        <v>83.740000000000009</v>
      </c>
      <c r="L94" s="2">
        <f t="shared" si="3"/>
        <v>16.748000000000001</v>
      </c>
      <c r="M94" t="s">
        <v>53</v>
      </c>
      <c r="N94" t="s">
        <v>54</v>
      </c>
      <c r="O94" t="s">
        <v>36</v>
      </c>
    </row>
    <row r="95" spans="1:15" x14ac:dyDescent="0.25">
      <c r="A95" s="1">
        <v>45301</v>
      </c>
      <c r="B95" t="s">
        <v>11</v>
      </c>
      <c r="C95" t="s">
        <v>17</v>
      </c>
      <c r="D95" t="s">
        <v>13</v>
      </c>
      <c r="E95" t="s">
        <v>18</v>
      </c>
      <c r="F95" s="2">
        <v>13.78</v>
      </c>
      <c r="G95" s="2">
        <v>120</v>
      </c>
      <c r="H95">
        <v>4</v>
      </c>
      <c r="I95" t="s">
        <v>22</v>
      </c>
      <c r="J95">
        <v>9</v>
      </c>
      <c r="K95" s="3">
        <f t="shared" si="2"/>
        <v>106.22</v>
      </c>
      <c r="L95" s="2">
        <f t="shared" si="3"/>
        <v>21.244</v>
      </c>
      <c r="M95" t="s">
        <v>55</v>
      </c>
      <c r="N95" t="s">
        <v>56</v>
      </c>
      <c r="O95" t="s">
        <v>37</v>
      </c>
    </row>
    <row r="96" spans="1:15" x14ac:dyDescent="0.25">
      <c r="A96" s="1">
        <v>45301</v>
      </c>
      <c r="B96" t="s">
        <v>16</v>
      </c>
      <c r="C96" t="s">
        <v>12</v>
      </c>
      <c r="D96" t="s">
        <v>24</v>
      </c>
      <c r="E96" t="s">
        <v>14</v>
      </c>
      <c r="F96" s="2">
        <v>50.49</v>
      </c>
      <c r="G96" s="2">
        <v>120</v>
      </c>
      <c r="H96">
        <v>9</v>
      </c>
      <c r="I96" t="s">
        <v>19</v>
      </c>
      <c r="J96">
        <v>5.4</v>
      </c>
      <c r="K96" s="3">
        <f t="shared" si="2"/>
        <v>69.509999999999991</v>
      </c>
      <c r="L96" s="2">
        <f t="shared" si="3"/>
        <v>13.901999999999999</v>
      </c>
      <c r="M96" t="s">
        <v>57</v>
      </c>
      <c r="N96" t="s">
        <v>58</v>
      </c>
      <c r="O96" t="s">
        <v>38</v>
      </c>
    </row>
    <row r="97" spans="1:15" x14ac:dyDescent="0.25">
      <c r="A97" s="1">
        <v>45301</v>
      </c>
      <c r="B97" t="s">
        <v>21</v>
      </c>
      <c r="C97" t="s">
        <v>12</v>
      </c>
      <c r="D97" t="s">
        <v>24</v>
      </c>
      <c r="E97" t="s">
        <v>25</v>
      </c>
      <c r="F97" s="2">
        <v>78.38</v>
      </c>
      <c r="G97" s="2">
        <v>120</v>
      </c>
      <c r="H97">
        <v>6</v>
      </c>
      <c r="I97" t="s">
        <v>22</v>
      </c>
      <c r="J97">
        <v>5.8</v>
      </c>
      <c r="K97" s="3">
        <f t="shared" si="2"/>
        <v>41.620000000000005</v>
      </c>
      <c r="L97" s="2">
        <f t="shared" si="3"/>
        <v>8.3240000000000016</v>
      </c>
      <c r="M97" t="s">
        <v>59</v>
      </c>
      <c r="N97" t="s">
        <v>60</v>
      </c>
      <c r="O97" t="s">
        <v>28</v>
      </c>
    </row>
    <row r="98" spans="1:15" x14ac:dyDescent="0.25">
      <c r="A98" s="1">
        <v>45301</v>
      </c>
      <c r="B98" t="s">
        <v>21</v>
      </c>
      <c r="C98" t="s">
        <v>12</v>
      </c>
      <c r="D98" t="s">
        <v>13</v>
      </c>
      <c r="E98" t="s">
        <v>20</v>
      </c>
      <c r="F98" s="2">
        <v>21.98</v>
      </c>
      <c r="G98" s="2">
        <v>120</v>
      </c>
      <c r="H98">
        <v>7</v>
      </c>
      <c r="I98" t="s">
        <v>22</v>
      </c>
      <c r="J98">
        <v>5.0999999999999996</v>
      </c>
      <c r="K98" s="3">
        <f t="shared" si="2"/>
        <v>98.02</v>
      </c>
      <c r="L98" s="2">
        <f t="shared" si="3"/>
        <v>19.603999999999999</v>
      </c>
      <c r="M98" t="s">
        <v>59</v>
      </c>
      <c r="N98" t="s">
        <v>61</v>
      </c>
      <c r="O98" t="s">
        <v>29</v>
      </c>
    </row>
    <row r="99" spans="1:15" x14ac:dyDescent="0.25">
      <c r="A99" s="1">
        <v>45301</v>
      </c>
      <c r="B99" t="s">
        <v>16</v>
      </c>
      <c r="C99" t="s">
        <v>17</v>
      </c>
      <c r="D99" t="s">
        <v>13</v>
      </c>
      <c r="E99" t="s">
        <v>20</v>
      </c>
      <c r="F99" s="2">
        <v>83.14</v>
      </c>
      <c r="G99" s="2">
        <v>120</v>
      </c>
      <c r="H99">
        <v>7</v>
      </c>
      <c r="I99" t="s">
        <v>15</v>
      </c>
      <c r="J99">
        <v>6.6</v>
      </c>
      <c r="K99" s="3">
        <f t="shared" si="2"/>
        <v>36.86</v>
      </c>
      <c r="L99" s="2">
        <f t="shared" si="3"/>
        <v>7.3719999999999999</v>
      </c>
      <c r="M99" t="s">
        <v>62</v>
      </c>
      <c r="N99" t="s">
        <v>63</v>
      </c>
      <c r="O99" t="s">
        <v>30</v>
      </c>
    </row>
    <row r="100" spans="1:15" x14ac:dyDescent="0.25">
      <c r="A100" s="1">
        <v>45301</v>
      </c>
      <c r="B100" t="s">
        <v>11</v>
      </c>
      <c r="C100" t="s">
        <v>17</v>
      </c>
      <c r="D100" t="s">
        <v>24</v>
      </c>
      <c r="E100" t="s">
        <v>20</v>
      </c>
      <c r="F100" s="2">
        <v>83.78</v>
      </c>
      <c r="G100" s="2">
        <v>120</v>
      </c>
      <c r="H100">
        <v>8</v>
      </c>
      <c r="I100" t="s">
        <v>19</v>
      </c>
      <c r="J100">
        <v>5.0999999999999996</v>
      </c>
      <c r="K100" s="3">
        <f t="shared" si="2"/>
        <v>36.22</v>
      </c>
      <c r="L100" s="2">
        <f t="shared" si="3"/>
        <v>7.2439999999999998</v>
      </c>
      <c r="M100" t="s">
        <v>64</v>
      </c>
      <c r="N100" t="s">
        <v>65</v>
      </c>
      <c r="O100" t="s">
        <v>31</v>
      </c>
    </row>
    <row r="101" spans="1:15" x14ac:dyDescent="0.25">
      <c r="A101" s="1">
        <v>45302</v>
      </c>
      <c r="B101" t="s">
        <v>21</v>
      </c>
      <c r="C101" t="s">
        <v>17</v>
      </c>
      <c r="D101" t="s">
        <v>24</v>
      </c>
      <c r="E101" t="s">
        <v>14</v>
      </c>
      <c r="F101" s="2">
        <v>24.94</v>
      </c>
      <c r="G101" s="2">
        <v>120</v>
      </c>
      <c r="H101">
        <v>9</v>
      </c>
      <c r="I101" t="s">
        <v>15</v>
      </c>
      <c r="J101">
        <v>5.6</v>
      </c>
      <c r="K101" s="3">
        <f t="shared" si="2"/>
        <v>95.06</v>
      </c>
      <c r="L101" s="2">
        <f t="shared" si="3"/>
        <v>19.012</v>
      </c>
      <c r="M101" t="s">
        <v>66</v>
      </c>
      <c r="N101" t="s">
        <v>67</v>
      </c>
      <c r="O101" t="s">
        <v>31</v>
      </c>
    </row>
    <row r="102" spans="1:15" x14ac:dyDescent="0.25">
      <c r="A102" s="1">
        <v>45302</v>
      </c>
      <c r="B102" t="s">
        <v>21</v>
      </c>
      <c r="C102" t="s">
        <v>17</v>
      </c>
      <c r="D102" t="s">
        <v>24</v>
      </c>
      <c r="E102" t="s">
        <v>23</v>
      </c>
      <c r="F102" s="2">
        <v>89.69</v>
      </c>
      <c r="G102" s="2">
        <v>120</v>
      </c>
      <c r="H102">
        <v>1</v>
      </c>
      <c r="I102" t="s">
        <v>22</v>
      </c>
      <c r="J102">
        <v>4.9000000000000004</v>
      </c>
      <c r="K102" s="3">
        <f t="shared" si="2"/>
        <v>30.310000000000002</v>
      </c>
      <c r="L102" s="2">
        <f t="shared" si="3"/>
        <v>6.0620000000000012</v>
      </c>
      <c r="M102" t="s">
        <v>68</v>
      </c>
      <c r="N102" t="s">
        <v>69</v>
      </c>
      <c r="O102" t="s">
        <v>31</v>
      </c>
    </row>
    <row r="103" spans="1:15" x14ac:dyDescent="0.25">
      <c r="A103" s="1">
        <v>45302</v>
      </c>
      <c r="B103" t="s">
        <v>16</v>
      </c>
      <c r="C103" t="s">
        <v>12</v>
      </c>
      <c r="D103" t="s">
        <v>13</v>
      </c>
      <c r="E103" t="s">
        <v>14</v>
      </c>
      <c r="F103" s="2">
        <v>36.770000000000003</v>
      </c>
      <c r="G103" s="2">
        <v>120</v>
      </c>
      <c r="H103">
        <v>7</v>
      </c>
      <c r="I103" t="s">
        <v>19</v>
      </c>
      <c r="J103">
        <v>7.4</v>
      </c>
      <c r="K103" s="3">
        <f t="shared" si="2"/>
        <v>83.22999999999999</v>
      </c>
      <c r="L103" s="2">
        <f t="shared" si="3"/>
        <v>16.645999999999997</v>
      </c>
      <c r="M103" t="s">
        <v>70</v>
      </c>
      <c r="N103" t="s">
        <v>67</v>
      </c>
      <c r="O103" t="s">
        <v>28</v>
      </c>
    </row>
    <row r="104" spans="1:15" x14ac:dyDescent="0.25">
      <c r="A104" s="1">
        <v>45302</v>
      </c>
      <c r="B104" t="s">
        <v>21</v>
      </c>
      <c r="C104" t="s">
        <v>12</v>
      </c>
      <c r="D104" t="s">
        <v>24</v>
      </c>
      <c r="E104" t="s">
        <v>20</v>
      </c>
      <c r="F104" s="2">
        <v>82.33</v>
      </c>
      <c r="G104" s="2">
        <v>120</v>
      </c>
      <c r="H104">
        <v>4</v>
      </c>
      <c r="I104" t="s">
        <v>15</v>
      </c>
      <c r="J104">
        <v>7.5</v>
      </c>
      <c r="K104" s="3">
        <f t="shared" si="2"/>
        <v>37.67</v>
      </c>
      <c r="L104" s="2">
        <f t="shared" si="3"/>
        <v>7.5340000000000007</v>
      </c>
      <c r="M104" t="s">
        <v>39</v>
      </c>
      <c r="N104" t="s">
        <v>40</v>
      </c>
      <c r="O104" t="s">
        <v>28</v>
      </c>
    </row>
    <row r="105" spans="1:15" x14ac:dyDescent="0.25">
      <c r="A105" s="1">
        <v>45302</v>
      </c>
      <c r="B105" t="s">
        <v>16</v>
      </c>
      <c r="C105" t="s">
        <v>12</v>
      </c>
      <c r="D105" t="s">
        <v>13</v>
      </c>
      <c r="E105" t="s">
        <v>20</v>
      </c>
      <c r="F105" s="2">
        <v>87.16</v>
      </c>
      <c r="G105" s="2">
        <v>120</v>
      </c>
      <c r="H105">
        <v>2</v>
      </c>
      <c r="I105" t="s">
        <v>15</v>
      </c>
      <c r="J105">
        <v>9.6999999999999993</v>
      </c>
      <c r="K105" s="3">
        <f t="shared" si="2"/>
        <v>32.840000000000003</v>
      </c>
      <c r="L105" s="2">
        <f t="shared" si="3"/>
        <v>6.5680000000000014</v>
      </c>
      <c r="M105" t="s">
        <v>41</v>
      </c>
      <c r="N105" t="s">
        <v>42</v>
      </c>
      <c r="O105" t="s">
        <v>31</v>
      </c>
    </row>
    <row r="106" spans="1:15" x14ac:dyDescent="0.25">
      <c r="A106" s="1">
        <v>45302</v>
      </c>
      <c r="B106" t="s">
        <v>21</v>
      </c>
      <c r="C106" t="s">
        <v>12</v>
      </c>
      <c r="D106" t="s">
        <v>24</v>
      </c>
      <c r="E106" t="s">
        <v>14</v>
      </c>
      <c r="F106" s="2">
        <v>48.5</v>
      </c>
      <c r="G106" s="2">
        <v>120</v>
      </c>
      <c r="H106">
        <v>6</v>
      </c>
      <c r="I106" t="s">
        <v>22</v>
      </c>
      <c r="J106">
        <v>9.4</v>
      </c>
      <c r="K106" s="3">
        <f t="shared" si="2"/>
        <v>71.5</v>
      </c>
      <c r="L106" s="2">
        <f t="shared" si="3"/>
        <v>14.3</v>
      </c>
      <c r="M106" t="s">
        <v>43</v>
      </c>
      <c r="N106" t="s">
        <v>44</v>
      </c>
      <c r="O106" t="s">
        <v>29</v>
      </c>
    </row>
    <row r="107" spans="1:15" x14ac:dyDescent="0.25">
      <c r="A107" s="1">
        <v>45302</v>
      </c>
      <c r="B107" t="s">
        <v>21</v>
      </c>
      <c r="C107" t="s">
        <v>17</v>
      </c>
      <c r="D107" t="s">
        <v>13</v>
      </c>
      <c r="E107" t="s">
        <v>25</v>
      </c>
      <c r="F107" s="2">
        <v>96.52</v>
      </c>
      <c r="G107" s="2">
        <v>120</v>
      </c>
      <c r="H107">
        <v>6</v>
      </c>
      <c r="I107" t="s">
        <v>19</v>
      </c>
      <c r="J107">
        <v>4.5</v>
      </c>
      <c r="K107" s="3">
        <f t="shared" si="2"/>
        <v>23.480000000000004</v>
      </c>
      <c r="L107" s="2">
        <f t="shared" si="3"/>
        <v>4.6960000000000006</v>
      </c>
      <c r="M107" t="s">
        <v>45</v>
      </c>
      <c r="N107" t="s">
        <v>46</v>
      </c>
      <c r="O107" t="s">
        <v>32</v>
      </c>
    </row>
    <row r="108" spans="1:15" x14ac:dyDescent="0.25">
      <c r="A108" s="1">
        <v>45302</v>
      </c>
      <c r="B108" t="s">
        <v>21</v>
      </c>
      <c r="C108" t="s">
        <v>17</v>
      </c>
      <c r="D108" t="s">
        <v>24</v>
      </c>
      <c r="E108" t="s">
        <v>14</v>
      </c>
      <c r="F108" s="2">
        <v>13.79</v>
      </c>
      <c r="G108" s="2">
        <v>120</v>
      </c>
      <c r="H108">
        <v>5</v>
      </c>
      <c r="I108" t="s">
        <v>15</v>
      </c>
      <c r="J108">
        <v>7.8</v>
      </c>
      <c r="K108" s="3">
        <f t="shared" si="2"/>
        <v>106.21000000000001</v>
      </c>
      <c r="L108" s="2">
        <f t="shared" si="3"/>
        <v>21.242000000000004</v>
      </c>
      <c r="M108" t="s">
        <v>47</v>
      </c>
      <c r="N108" t="s">
        <v>48</v>
      </c>
      <c r="O108" t="s">
        <v>31</v>
      </c>
    </row>
    <row r="109" spans="1:15" x14ac:dyDescent="0.25">
      <c r="A109" s="1">
        <v>45303</v>
      </c>
      <c r="B109" t="s">
        <v>16</v>
      </c>
      <c r="C109" t="s">
        <v>12</v>
      </c>
      <c r="D109" t="s">
        <v>24</v>
      </c>
      <c r="E109" t="s">
        <v>20</v>
      </c>
      <c r="F109" s="2">
        <v>57.12</v>
      </c>
      <c r="G109" s="2">
        <v>120</v>
      </c>
      <c r="H109">
        <v>7</v>
      </c>
      <c r="I109" t="s">
        <v>15</v>
      </c>
      <c r="J109">
        <v>6.5</v>
      </c>
      <c r="K109" s="3">
        <f t="shared" si="2"/>
        <v>62.88</v>
      </c>
      <c r="L109" s="2">
        <f t="shared" si="3"/>
        <v>12.576000000000001</v>
      </c>
      <c r="M109" t="s">
        <v>49</v>
      </c>
      <c r="N109" t="s">
        <v>50</v>
      </c>
      <c r="O109" t="s">
        <v>32</v>
      </c>
    </row>
    <row r="110" spans="1:15" x14ac:dyDescent="0.25">
      <c r="A110" s="1">
        <v>45303</v>
      </c>
      <c r="B110" t="s">
        <v>11</v>
      </c>
      <c r="C110" t="s">
        <v>17</v>
      </c>
      <c r="D110" t="s">
        <v>13</v>
      </c>
      <c r="E110" t="s">
        <v>26</v>
      </c>
      <c r="F110" s="2">
        <v>57.22</v>
      </c>
      <c r="G110" s="2">
        <v>120</v>
      </c>
      <c r="H110">
        <v>2</v>
      </c>
      <c r="I110" t="s">
        <v>22</v>
      </c>
      <c r="J110">
        <v>8.3000000000000007</v>
      </c>
      <c r="K110" s="3">
        <f t="shared" si="2"/>
        <v>62.78</v>
      </c>
      <c r="L110" s="2">
        <f t="shared" si="3"/>
        <v>12.556000000000001</v>
      </c>
      <c r="M110" t="s">
        <v>51</v>
      </c>
      <c r="N110" t="s">
        <v>52</v>
      </c>
      <c r="O110" t="s">
        <v>33</v>
      </c>
    </row>
    <row r="111" spans="1:15" x14ac:dyDescent="0.25">
      <c r="A111" s="1">
        <v>45303</v>
      </c>
      <c r="B111" t="s">
        <v>11</v>
      </c>
      <c r="C111" t="s">
        <v>12</v>
      </c>
      <c r="D111" t="s">
        <v>24</v>
      </c>
      <c r="E111" t="s">
        <v>18</v>
      </c>
      <c r="F111" s="2">
        <v>91.56</v>
      </c>
      <c r="G111" s="2">
        <v>120</v>
      </c>
      <c r="H111">
        <v>8</v>
      </c>
      <c r="I111" t="s">
        <v>22</v>
      </c>
      <c r="J111">
        <v>6</v>
      </c>
      <c r="K111" s="3">
        <f t="shared" si="2"/>
        <v>28.439999999999998</v>
      </c>
      <c r="L111" s="2">
        <f t="shared" si="3"/>
        <v>5.6879999999999997</v>
      </c>
      <c r="M111" t="s">
        <v>53</v>
      </c>
      <c r="N111" t="s">
        <v>54</v>
      </c>
      <c r="O111" t="s">
        <v>34</v>
      </c>
    </row>
    <row r="112" spans="1:15" x14ac:dyDescent="0.25">
      <c r="A112" s="1">
        <v>45303</v>
      </c>
      <c r="B112" t="s">
        <v>11</v>
      </c>
      <c r="C112" t="s">
        <v>12</v>
      </c>
      <c r="D112" t="s">
        <v>13</v>
      </c>
      <c r="E112" t="s">
        <v>26</v>
      </c>
      <c r="F112" s="2">
        <v>27.07</v>
      </c>
      <c r="G112" s="2">
        <v>120</v>
      </c>
      <c r="H112">
        <v>1</v>
      </c>
      <c r="I112" t="s">
        <v>15</v>
      </c>
      <c r="J112">
        <v>5.3</v>
      </c>
      <c r="K112" s="3">
        <f t="shared" si="2"/>
        <v>92.93</v>
      </c>
      <c r="L112" s="2">
        <f t="shared" si="3"/>
        <v>18.586000000000002</v>
      </c>
      <c r="M112" t="s">
        <v>55</v>
      </c>
      <c r="N112" t="s">
        <v>56</v>
      </c>
      <c r="O112" t="s">
        <v>35</v>
      </c>
    </row>
    <row r="113" spans="1:15" x14ac:dyDescent="0.25">
      <c r="A113" s="1">
        <v>45303</v>
      </c>
      <c r="B113" t="s">
        <v>11</v>
      </c>
      <c r="C113" t="s">
        <v>17</v>
      </c>
      <c r="D113" t="s">
        <v>13</v>
      </c>
      <c r="E113" t="s">
        <v>23</v>
      </c>
      <c r="F113" s="2">
        <v>83.25</v>
      </c>
      <c r="G113" s="2">
        <v>120</v>
      </c>
      <c r="H113">
        <v>10</v>
      </c>
      <c r="I113" t="s">
        <v>15</v>
      </c>
      <c r="J113">
        <v>4.4000000000000004</v>
      </c>
      <c r="K113" s="3">
        <f t="shared" si="2"/>
        <v>36.75</v>
      </c>
      <c r="L113" s="2">
        <f t="shared" si="3"/>
        <v>7.3500000000000005</v>
      </c>
      <c r="M113" t="s">
        <v>57</v>
      </c>
      <c r="N113" t="s">
        <v>58</v>
      </c>
      <c r="O113" t="s">
        <v>36</v>
      </c>
    </row>
    <row r="114" spans="1:15" x14ac:dyDescent="0.25">
      <c r="A114" s="1">
        <v>45303</v>
      </c>
      <c r="B114" t="s">
        <v>21</v>
      </c>
      <c r="C114" t="s">
        <v>12</v>
      </c>
      <c r="D114" t="s">
        <v>24</v>
      </c>
      <c r="E114" t="s">
        <v>18</v>
      </c>
      <c r="F114" s="2">
        <v>88.67</v>
      </c>
      <c r="G114" s="2">
        <v>120</v>
      </c>
      <c r="H114">
        <v>10</v>
      </c>
      <c r="I114" t="s">
        <v>22</v>
      </c>
      <c r="J114">
        <v>7.3</v>
      </c>
      <c r="K114" s="3">
        <f t="shared" si="2"/>
        <v>31.33</v>
      </c>
      <c r="L114" s="2">
        <f t="shared" si="3"/>
        <v>6.266</v>
      </c>
      <c r="M114" t="s">
        <v>59</v>
      </c>
      <c r="N114" t="s">
        <v>60</v>
      </c>
      <c r="O114" t="s">
        <v>37</v>
      </c>
    </row>
    <row r="115" spans="1:15" x14ac:dyDescent="0.25">
      <c r="A115" s="1">
        <v>45303</v>
      </c>
      <c r="B115" t="s">
        <v>21</v>
      </c>
      <c r="C115" t="s">
        <v>17</v>
      </c>
      <c r="D115" t="s">
        <v>13</v>
      </c>
      <c r="E115" t="s">
        <v>23</v>
      </c>
      <c r="F115" s="2">
        <v>29.42</v>
      </c>
      <c r="G115" s="2">
        <v>120</v>
      </c>
      <c r="H115">
        <v>10</v>
      </c>
      <c r="I115" t="s">
        <v>22</v>
      </c>
      <c r="J115">
        <v>8.9</v>
      </c>
      <c r="K115" s="3">
        <f t="shared" si="2"/>
        <v>90.58</v>
      </c>
      <c r="L115" s="2">
        <f t="shared" si="3"/>
        <v>18.116</v>
      </c>
      <c r="M115" t="s">
        <v>59</v>
      </c>
      <c r="N115" t="s">
        <v>61</v>
      </c>
      <c r="O115" t="s">
        <v>38</v>
      </c>
    </row>
    <row r="116" spans="1:15" x14ac:dyDescent="0.25">
      <c r="A116" s="1">
        <v>45303</v>
      </c>
      <c r="B116" t="s">
        <v>21</v>
      </c>
      <c r="C116" t="s">
        <v>12</v>
      </c>
      <c r="D116" t="s">
        <v>13</v>
      </c>
      <c r="E116" t="s">
        <v>23</v>
      </c>
      <c r="F116" s="2">
        <v>20.010000000000002</v>
      </c>
      <c r="G116" s="2">
        <v>120</v>
      </c>
      <c r="H116">
        <v>9</v>
      </c>
      <c r="I116" t="s">
        <v>15</v>
      </c>
      <c r="J116">
        <v>5.7</v>
      </c>
      <c r="K116" s="3">
        <f t="shared" si="2"/>
        <v>99.99</v>
      </c>
      <c r="L116" s="2">
        <f t="shared" si="3"/>
        <v>19.998000000000001</v>
      </c>
      <c r="M116" t="s">
        <v>62</v>
      </c>
      <c r="N116" t="s">
        <v>63</v>
      </c>
      <c r="O116" t="s">
        <v>28</v>
      </c>
    </row>
    <row r="117" spans="1:15" x14ac:dyDescent="0.25">
      <c r="A117" s="1">
        <v>45303</v>
      </c>
      <c r="B117" t="s">
        <v>11</v>
      </c>
      <c r="C117" t="s">
        <v>17</v>
      </c>
      <c r="D117" t="s">
        <v>24</v>
      </c>
      <c r="E117" t="s">
        <v>20</v>
      </c>
      <c r="F117" s="2">
        <v>23.01</v>
      </c>
      <c r="G117" s="2">
        <v>120</v>
      </c>
      <c r="H117">
        <v>6</v>
      </c>
      <c r="I117" t="s">
        <v>22</v>
      </c>
      <c r="J117">
        <v>7.9</v>
      </c>
      <c r="K117" s="3">
        <f t="shared" si="2"/>
        <v>96.99</v>
      </c>
      <c r="L117" s="2">
        <f t="shared" si="3"/>
        <v>19.398</v>
      </c>
      <c r="M117" t="s">
        <v>64</v>
      </c>
      <c r="N117" t="s">
        <v>65</v>
      </c>
      <c r="O117" t="s">
        <v>29</v>
      </c>
    </row>
    <row r="118" spans="1:15" x14ac:dyDescent="0.25">
      <c r="A118" s="1">
        <v>45303</v>
      </c>
      <c r="B118" t="s">
        <v>16</v>
      </c>
      <c r="C118" t="s">
        <v>17</v>
      </c>
      <c r="D118" t="s">
        <v>24</v>
      </c>
      <c r="E118" t="s">
        <v>25</v>
      </c>
      <c r="F118" s="2">
        <v>97.5</v>
      </c>
      <c r="G118" s="2">
        <v>120</v>
      </c>
      <c r="H118">
        <v>10</v>
      </c>
      <c r="I118" t="s">
        <v>22</v>
      </c>
      <c r="J118">
        <v>8</v>
      </c>
      <c r="K118" s="3">
        <f t="shared" si="2"/>
        <v>22.5</v>
      </c>
      <c r="L118" s="2">
        <f t="shared" si="3"/>
        <v>4.5</v>
      </c>
      <c r="M118" t="s">
        <v>66</v>
      </c>
      <c r="N118" t="s">
        <v>67</v>
      </c>
      <c r="O118" t="s">
        <v>30</v>
      </c>
    </row>
    <row r="119" spans="1:15" x14ac:dyDescent="0.25">
      <c r="A119" s="1">
        <v>45303</v>
      </c>
      <c r="B119" t="s">
        <v>11</v>
      </c>
      <c r="C119" t="s">
        <v>17</v>
      </c>
      <c r="D119" t="s">
        <v>13</v>
      </c>
      <c r="E119" t="s">
        <v>25</v>
      </c>
      <c r="F119" s="2">
        <v>51.07</v>
      </c>
      <c r="G119" s="2">
        <v>120</v>
      </c>
      <c r="H119">
        <v>7</v>
      </c>
      <c r="I119" t="s">
        <v>19</v>
      </c>
      <c r="J119">
        <v>7</v>
      </c>
      <c r="K119" s="3">
        <f t="shared" si="2"/>
        <v>68.930000000000007</v>
      </c>
      <c r="L119" s="2">
        <f t="shared" si="3"/>
        <v>13.786000000000001</v>
      </c>
      <c r="M119" t="s">
        <v>68</v>
      </c>
      <c r="N119" t="s">
        <v>69</v>
      </c>
      <c r="O119" t="s">
        <v>31</v>
      </c>
    </row>
    <row r="120" spans="1:15" x14ac:dyDescent="0.25">
      <c r="A120" s="1">
        <v>45304</v>
      </c>
      <c r="B120" t="s">
        <v>11</v>
      </c>
      <c r="C120" t="s">
        <v>12</v>
      </c>
      <c r="D120" t="s">
        <v>24</v>
      </c>
      <c r="E120" t="s">
        <v>20</v>
      </c>
      <c r="F120" s="2">
        <v>72.599999999999994</v>
      </c>
      <c r="G120" s="2">
        <v>120</v>
      </c>
      <c r="H120">
        <v>6</v>
      </c>
      <c r="I120" t="s">
        <v>19</v>
      </c>
      <c r="J120">
        <v>6.9</v>
      </c>
      <c r="K120" s="3">
        <f t="shared" si="2"/>
        <v>47.400000000000006</v>
      </c>
      <c r="L120" s="2">
        <f t="shared" si="3"/>
        <v>9.4800000000000022</v>
      </c>
      <c r="M120" t="s">
        <v>70</v>
      </c>
      <c r="N120" t="s">
        <v>67</v>
      </c>
      <c r="O120" t="s">
        <v>31</v>
      </c>
    </row>
    <row r="121" spans="1:15" x14ac:dyDescent="0.25">
      <c r="A121" s="1">
        <v>45304</v>
      </c>
      <c r="B121" t="s">
        <v>21</v>
      </c>
      <c r="C121" t="s">
        <v>12</v>
      </c>
      <c r="D121" t="s">
        <v>24</v>
      </c>
      <c r="E121" t="s">
        <v>25</v>
      </c>
      <c r="F121" s="2">
        <v>81.010000000000005</v>
      </c>
      <c r="G121" s="2">
        <v>120</v>
      </c>
      <c r="H121">
        <v>3</v>
      </c>
      <c r="I121" t="s">
        <v>15</v>
      </c>
      <c r="J121">
        <v>9.3000000000000007</v>
      </c>
      <c r="K121" s="3">
        <f t="shared" si="2"/>
        <v>38.989999999999995</v>
      </c>
      <c r="L121" s="2">
        <f t="shared" si="3"/>
        <v>7.7979999999999992</v>
      </c>
      <c r="M121" t="s">
        <v>39</v>
      </c>
      <c r="N121" t="s">
        <v>40</v>
      </c>
      <c r="O121" t="s">
        <v>31</v>
      </c>
    </row>
    <row r="122" spans="1:15" x14ac:dyDescent="0.25">
      <c r="A122" s="1">
        <v>45304</v>
      </c>
      <c r="B122" t="s">
        <v>16</v>
      </c>
      <c r="C122" t="s">
        <v>12</v>
      </c>
      <c r="D122" t="s">
        <v>13</v>
      </c>
      <c r="E122" t="s">
        <v>23</v>
      </c>
      <c r="F122" s="2">
        <v>74.290000000000006</v>
      </c>
      <c r="G122" s="2">
        <v>120</v>
      </c>
      <c r="H122">
        <v>1</v>
      </c>
      <c r="I122" t="s">
        <v>19</v>
      </c>
      <c r="J122">
        <v>5</v>
      </c>
      <c r="K122" s="3">
        <f t="shared" si="2"/>
        <v>45.709999999999994</v>
      </c>
      <c r="L122" s="2">
        <f t="shared" si="3"/>
        <v>9.1419999999999995</v>
      </c>
      <c r="M122" t="s">
        <v>41</v>
      </c>
      <c r="N122" t="s">
        <v>42</v>
      </c>
      <c r="O122" t="s">
        <v>28</v>
      </c>
    </row>
    <row r="123" spans="1:15" x14ac:dyDescent="0.25">
      <c r="A123" s="1">
        <v>45304</v>
      </c>
      <c r="B123" t="s">
        <v>21</v>
      </c>
      <c r="C123" t="s">
        <v>17</v>
      </c>
      <c r="D123" t="s">
        <v>13</v>
      </c>
      <c r="E123" t="s">
        <v>18</v>
      </c>
      <c r="F123" s="2">
        <v>23.46</v>
      </c>
      <c r="G123" s="2">
        <v>120</v>
      </c>
      <c r="H123">
        <v>6</v>
      </c>
      <c r="I123" t="s">
        <v>22</v>
      </c>
      <c r="J123">
        <v>6.4</v>
      </c>
      <c r="K123" s="3">
        <f t="shared" si="2"/>
        <v>96.539999999999992</v>
      </c>
      <c r="L123" s="2">
        <f t="shared" si="3"/>
        <v>19.308</v>
      </c>
      <c r="M123" t="s">
        <v>43</v>
      </c>
      <c r="N123" t="s">
        <v>44</v>
      </c>
      <c r="O123" t="s">
        <v>28</v>
      </c>
    </row>
    <row r="124" spans="1:15" x14ac:dyDescent="0.25">
      <c r="A124" s="1">
        <v>45304</v>
      </c>
      <c r="B124" t="s">
        <v>21</v>
      </c>
      <c r="C124" t="s">
        <v>12</v>
      </c>
      <c r="D124" t="s">
        <v>13</v>
      </c>
      <c r="E124" t="s">
        <v>26</v>
      </c>
      <c r="F124" s="2">
        <v>39.619999999999997</v>
      </c>
      <c r="G124" s="2">
        <v>120</v>
      </c>
      <c r="H124">
        <v>9</v>
      </c>
      <c r="I124" t="s">
        <v>15</v>
      </c>
      <c r="J124">
        <v>6.8</v>
      </c>
      <c r="K124" s="3">
        <f t="shared" si="2"/>
        <v>80.38</v>
      </c>
      <c r="L124" s="2">
        <f t="shared" si="3"/>
        <v>16.076000000000001</v>
      </c>
      <c r="M124" t="s">
        <v>45</v>
      </c>
      <c r="N124" t="s">
        <v>46</v>
      </c>
      <c r="O124" t="s">
        <v>31</v>
      </c>
    </row>
    <row r="125" spans="1:15" x14ac:dyDescent="0.25">
      <c r="A125" s="1">
        <v>45304</v>
      </c>
      <c r="B125" t="s">
        <v>16</v>
      </c>
      <c r="C125" t="s">
        <v>12</v>
      </c>
      <c r="D125" t="s">
        <v>13</v>
      </c>
      <c r="E125" t="s">
        <v>14</v>
      </c>
      <c r="F125" s="2">
        <v>21.04</v>
      </c>
      <c r="G125" s="2">
        <v>120</v>
      </c>
      <c r="H125">
        <v>4</v>
      </c>
      <c r="I125" t="s">
        <v>19</v>
      </c>
      <c r="J125">
        <v>7.6</v>
      </c>
      <c r="K125" s="3">
        <f t="shared" si="2"/>
        <v>98.960000000000008</v>
      </c>
      <c r="L125" s="2">
        <f t="shared" si="3"/>
        <v>19.792000000000002</v>
      </c>
      <c r="M125" t="s">
        <v>47</v>
      </c>
      <c r="N125" t="s">
        <v>48</v>
      </c>
      <c r="O125" t="s">
        <v>29</v>
      </c>
    </row>
    <row r="126" spans="1:15" x14ac:dyDescent="0.25">
      <c r="A126" s="1">
        <v>45304</v>
      </c>
      <c r="B126" t="s">
        <v>11</v>
      </c>
      <c r="C126" t="s">
        <v>12</v>
      </c>
      <c r="D126" t="s">
        <v>24</v>
      </c>
      <c r="E126" t="s">
        <v>23</v>
      </c>
      <c r="F126" s="2">
        <v>59.86</v>
      </c>
      <c r="G126" s="2">
        <v>120</v>
      </c>
      <c r="H126">
        <v>2</v>
      </c>
      <c r="I126" t="s">
        <v>22</v>
      </c>
      <c r="J126">
        <v>6.7</v>
      </c>
      <c r="K126" s="3">
        <f t="shared" si="2"/>
        <v>60.14</v>
      </c>
      <c r="L126" s="2">
        <f t="shared" si="3"/>
        <v>12.028</v>
      </c>
      <c r="M126" t="s">
        <v>49</v>
      </c>
      <c r="N126" t="s">
        <v>50</v>
      </c>
      <c r="O126" t="s">
        <v>32</v>
      </c>
    </row>
    <row r="127" spans="1:15" x14ac:dyDescent="0.25">
      <c r="A127" s="1">
        <v>45304</v>
      </c>
      <c r="B127" t="s">
        <v>11</v>
      </c>
      <c r="C127" t="s">
        <v>17</v>
      </c>
      <c r="D127" t="s">
        <v>24</v>
      </c>
      <c r="E127" t="s">
        <v>14</v>
      </c>
      <c r="F127" s="2">
        <v>72.39</v>
      </c>
      <c r="G127" s="2">
        <v>120</v>
      </c>
      <c r="H127">
        <v>2</v>
      </c>
      <c r="I127" t="s">
        <v>15</v>
      </c>
      <c r="J127">
        <v>8.1</v>
      </c>
      <c r="K127" s="3">
        <f t="shared" si="2"/>
        <v>47.61</v>
      </c>
      <c r="L127" s="2">
        <f t="shared" si="3"/>
        <v>9.5220000000000002</v>
      </c>
      <c r="M127" t="s">
        <v>51</v>
      </c>
      <c r="N127" t="s">
        <v>52</v>
      </c>
      <c r="O127" t="s">
        <v>31</v>
      </c>
    </row>
    <row r="128" spans="1:15" x14ac:dyDescent="0.25">
      <c r="A128" s="1">
        <v>45304</v>
      </c>
      <c r="B128" t="s">
        <v>21</v>
      </c>
      <c r="C128" t="s">
        <v>17</v>
      </c>
      <c r="D128" t="s">
        <v>24</v>
      </c>
      <c r="E128" t="s">
        <v>20</v>
      </c>
      <c r="F128" s="2">
        <v>45.58</v>
      </c>
      <c r="G128" s="2">
        <v>120</v>
      </c>
      <c r="H128">
        <v>7</v>
      </c>
      <c r="I128" t="s">
        <v>19</v>
      </c>
      <c r="J128">
        <v>5</v>
      </c>
      <c r="K128" s="3">
        <f t="shared" si="2"/>
        <v>74.42</v>
      </c>
      <c r="L128" s="2">
        <f t="shared" si="3"/>
        <v>14.884</v>
      </c>
      <c r="M128" t="s">
        <v>53</v>
      </c>
      <c r="N128" t="s">
        <v>54</v>
      </c>
      <c r="O128" t="s">
        <v>32</v>
      </c>
    </row>
    <row r="129" spans="1:15" x14ac:dyDescent="0.25">
      <c r="A129" s="1">
        <v>45304</v>
      </c>
      <c r="B129" t="s">
        <v>16</v>
      </c>
      <c r="C129" t="s">
        <v>17</v>
      </c>
      <c r="D129" t="s">
        <v>13</v>
      </c>
      <c r="E129" t="s">
        <v>18</v>
      </c>
      <c r="F129" s="2">
        <v>41.65</v>
      </c>
      <c r="G129" s="2">
        <v>120</v>
      </c>
      <c r="H129">
        <v>10</v>
      </c>
      <c r="I129" t="s">
        <v>15</v>
      </c>
      <c r="J129">
        <v>5.4</v>
      </c>
      <c r="K129" s="3">
        <f t="shared" si="2"/>
        <v>78.349999999999994</v>
      </c>
      <c r="L129" s="2">
        <f t="shared" si="3"/>
        <v>15.67</v>
      </c>
      <c r="M129" t="s">
        <v>55</v>
      </c>
      <c r="N129" t="s">
        <v>56</v>
      </c>
      <c r="O129" t="s">
        <v>33</v>
      </c>
    </row>
    <row r="130" spans="1:15" x14ac:dyDescent="0.25">
      <c r="A130" s="1">
        <v>45305</v>
      </c>
      <c r="B130" t="s">
        <v>16</v>
      </c>
      <c r="C130" t="s">
        <v>12</v>
      </c>
      <c r="D130" t="s">
        <v>24</v>
      </c>
      <c r="E130" t="s">
        <v>26</v>
      </c>
      <c r="F130" s="2">
        <v>60.47</v>
      </c>
      <c r="G130" s="2">
        <v>120</v>
      </c>
      <c r="H130">
        <v>3</v>
      </c>
      <c r="I130" t="s">
        <v>15</v>
      </c>
      <c r="J130">
        <v>5.6</v>
      </c>
      <c r="K130" s="3">
        <f t="shared" ref="K130:K193" si="4">G130-F130</f>
        <v>59.53</v>
      </c>
      <c r="L130" s="2">
        <f t="shared" ref="L130:L193" si="5">IF(G130&gt;30,K130*0.2,G130*0.1)</f>
        <v>11.906000000000001</v>
      </c>
      <c r="M130" t="s">
        <v>57</v>
      </c>
      <c r="N130" t="s">
        <v>58</v>
      </c>
      <c r="O130" t="s">
        <v>34</v>
      </c>
    </row>
    <row r="131" spans="1:15" x14ac:dyDescent="0.25">
      <c r="A131" s="1">
        <v>45305</v>
      </c>
      <c r="B131" t="s">
        <v>11</v>
      </c>
      <c r="C131" t="s">
        <v>17</v>
      </c>
      <c r="D131" t="s">
        <v>13</v>
      </c>
      <c r="E131" t="s">
        <v>20</v>
      </c>
      <c r="F131" s="2">
        <v>34.81</v>
      </c>
      <c r="G131" s="2">
        <v>120</v>
      </c>
      <c r="H131">
        <v>1</v>
      </c>
      <c r="I131" t="s">
        <v>15</v>
      </c>
      <c r="J131">
        <v>7</v>
      </c>
      <c r="K131" s="3">
        <f t="shared" si="4"/>
        <v>85.19</v>
      </c>
      <c r="L131" s="2">
        <f t="shared" si="5"/>
        <v>17.038</v>
      </c>
      <c r="M131" t="s">
        <v>59</v>
      </c>
      <c r="N131" t="s">
        <v>60</v>
      </c>
      <c r="O131" t="s">
        <v>35</v>
      </c>
    </row>
    <row r="132" spans="1:15" x14ac:dyDescent="0.25">
      <c r="A132" s="1">
        <v>45305</v>
      </c>
      <c r="B132" t="s">
        <v>11</v>
      </c>
      <c r="C132" t="s">
        <v>12</v>
      </c>
      <c r="D132" t="s">
        <v>13</v>
      </c>
      <c r="E132" t="s">
        <v>23</v>
      </c>
      <c r="F132" s="2">
        <v>18.079999999999998</v>
      </c>
      <c r="G132" s="2">
        <v>120</v>
      </c>
      <c r="H132">
        <v>4</v>
      </c>
      <c r="I132" t="s">
        <v>15</v>
      </c>
      <c r="J132">
        <v>9.5</v>
      </c>
      <c r="K132" s="3">
        <f t="shared" si="4"/>
        <v>101.92</v>
      </c>
      <c r="L132" s="2">
        <f t="shared" si="5"/>
        <v>20.384</v>
      </c>
      <c r="M132" t="s">
        <v>59</v>
      </c>
      <c r="N132" t="s">
        <v>61</v>
      </c>
      <c r="O132" t="s">
        <v>36</v>
      </c>
    </row>
    <row r="133" spans="1:15" x14ac:dyDescent="0.25">
      <c r="A133" s="1">
        <v>45305</v>
      </c>
      <c r="B133" t="s">
        <v>21</v>
      </c>
      <c r="C133" t="s">
        <v>12</v>
      </c>
      <c r="D133" t="s">
        <v>13</v>
      </c>
      <c r="E133" t="s">
        <v>23</v>
      </c>
      <c r="F133" s="2">
        <v>96.7</v>
      </c>
      <c r="G133" s="2">
        <v>120</v>
      </c>
      <c r="H133">
        <v>5</v>
      </c>
      <c r="I133" t="s">
        <v>22</v>
      </c>
      <c r="J133">
        <v>7</v>
      </c>
      <c r="K133" s="3">
        <f t="shared" si="4"/>
        <v>23.299999999999997</v>
      </c>
      <c r="L133" s="2">
        <f t="shared" si="5"/>
        <v>4.6599999999999993</v>
      </c>
      <c r="M133" t="s">
        <v>62</v>
      </c>
      <c r="N133" t="s">
        <v>63</v>
      </c>
      <c r="O133" t="s">
        <v>37</v>
      </c>
    </row>
    <row r="134" spans="1:15" x14ac:dyDescent="0.25">
      <c r="A134" s="1">
        <v>45305</v>
      </c>
      <c r="B134" t="s">
        <v>11</v>
      </c>
      <c r="C134" t="s">
        <v>17</v>
      </c>
      <c r="D134" t="s">
        <v>13</v>
      </c>
      <c r="E134" t="s">
        <v>14</v>
      </c>
      <c r="F134" s="2">
        <v>99.69</v>
      </c>
      <c r="G134" s="2">
        <v>120</v>
      </c>
      <c r="H134">
        <v>5</v>
      </c>
      <c r="I134" t="s">
        <v>19</v>
      </c>
      <c r="J134">
        <v>9.9</v>
      </c>
      <c r="K134" s="3">
        <f t="shared" si="4"/>
        <v>20.310000000000002</v>
      </c>
      <c r="L134" s="2">
        <f t="shared" si="5"/>
        <v>4.0620000000000003</v>
      </c>
      <c r="M134" t="s">
        <v>64</v>
      </c>
      <c r="N134" t="s">
        <v>65</v>
      </c>
      <c r="O134" t="s">
        <v>38</v>
      </c>
    </row>
    <row r="135" spans="1:15" x14ac:dyDescent="0.25">
      <c r="A135" s="1">
        <v>45305</v>
      </c>
      <c r="B135" t="s">
        <v>11</v>
      </c>
      <c r="C135" t="s">
        <v>17</v>
      </c>
      <c r="D135" t="s">
        <v>13</v>
      </c>
      <c r="E135" t="s">
        <v>26</v>
      </c>
      <c r="F135" s="2">
        <v>17.75</v>
      </c>
      <c r="G135" s="2">
        <v>120</v>
      </c>
      <c r="H135">
        <v>1</v>
      </c>
      <c r="I135" t="s">
        <v>19</v>
      </c>
      <c r="J135">
        <v>8.6</v>
      </c>
      <c r="K135" s="3">
        <f t="shared" si="4"/>
        <v>102.25</v>
      </c>
      <c r="L135" s="2">
        <f t="shared" si="5"/>
        <v>20.450000000000003</v>
      </c>
      <c r="M135" t="s">
        <v>66</v>
      </c>
      <c r="N135" t="s">
        <v>67</v>
      </c>
      <c r="O135" t="s">
        <v>28</v>
      </c>
    </row>
    <row r="136" spans="1:15" x14ac:dyDescent="0.25">
      <c r="A136" s="1">
        <v>45305</v>
      </c>
      <c r="B136" t="s">
        <v>16</v>
      </c>
      <c r="C136" t="s">
        <v>17</v>
      </c>
      <c r="D136" t="s">
        <v>24</v>
      </c>
      <c r="E136" t="s">
        <v>14</v>
      </c>
      <c r="F136" s="2">
        <v>84.83</v>
      </c>
      <c r="G136" s="2">
        <v>120</v>
      </c>
      <c r="H136">
        <v>1</v>
      </c>
      <c r="I136" t="s">
        <v>22</v>
      </c>
      <c r="J136">
        <v>8.8000000000000007</v>
      </c>
      <c r="K136" s="3">
        <f t="shared" si="4"/>
        <v>35.17</v>
      </c>
      <c r="L136" s="2">
        <f t="shared" si="5"/>
        <v>7.0340000000000007</v>
      </c>
      <c r="M136" t="s">
        <v>68</v>
      </c>
      <c r="N136" t="s">
        <v>69</v>
      </c>
      <c r="O136" t="s">
        <v>29</v>
      </c>
    </row>
    <row r="137" spans="1:15" x14ac:dyDescent="0.25">
      <c r="A137" s="1">
        <v>45305</v>
      </c>
      <c r="B137" t="s">
        <v>16</v>
      </c>
      <c r="C137" t="s">
        <v>17</v>
      </c>
      <c r="D137" t="s">
        <v>24</v>
      </c>
      <c r="E137" t="s">
        <v>26</v>
      </c>
      <c r="F137" s="2">
        <v>53.19</v>
      </c>
      <c r="G137" s="2">
        <v>120</v>
      </c>
      <c r="H137">
        <v>7</v>
      </c>
      <c r="I137" t="s">
        <v>22</v>
      </c>
      <c r="J137">
        <v>5</v>
      </c>
      <c r="K137" s="3">
        <f t="shared" si="4"/>
        <v>66.81</v>
      </c>
      <c r="L137" s="2">
        <f t="shared" si="5"/>
        <v>13.362000000000002</v>
      </c>
      <c r="M137" t="s">
        <v>70</v>
      </c>
      <c r="N137" t="s">
        <v>67</v>
      </c>
      <c r="O137" t="s">
        <v>30</v>
      </c>
    </row>
    <row r="138" spans="1:15" x14ac:dyDescent="0.25">
      <c r="A138" s="1">
        <v>45305</v>
      </c>
      <c r="B138" t="s">
        <v>11</v>
      </c>
      <c r="C138" t="s">
        <v>17</v>
      </c>
      <c r="D138" t="s">
        <v>24</v>
      </c>
      <c r="E138" t="s">
        <v>14</v>
      </c>
      <c r="F138" s="2">
        <v>73.06</v>
      </c>
      <c r="G138" s="2">
        <v>120</v>
      </c>
      <c r="H138">
        <v>7</v>
      </c>
      <c r="I138" t="s">
        <v>15</v>
      </c>
      <c r="J138">
        <v>4.2</v>
      </c>
      <c r="K138" s="3">
        <f t="shared" si="4"/>
        <v>46.94</v>
      </c>
      <c r="L138" s="2">
        <f t="shared" si="5"/>
        <v>9.3879999999999999</v>
      </c>
      <c r="M138" t="s">
        <v>39</v>
      </c>
      <c r="N138" t="s">
        <v>40</v>
      </c>
      <c r="O138" t="s">
        <v>31</v>
      </c>
    </row>
    <row r="139" spans="1:15" x14ac:dyDescent="0.25">
      <c r="A139" s="1">
        <v>45305</v>
      </c>
      <c r="B139" t="s">
        <v>16</v>
      </c>
      <c r="C139" t="s">
        <v>17</v>
      </c>
      <c r="D139" t="s">
        <v>24</v>
      </c>
      <c r="E139" t="s">
        <v>14</v>
      </c>
      <c r="F139" s="2">
        <v>31.77</v>
      </c>
      <c r="G139" s="2">
        <v>120</v>
      </c>
      <c r="H139">
        <v>4</v>
      </c>
      <c r="I139" t="s">
        <v>22</v>
      </c>
      <c r="J139">
        <v>6.2</v>
      </c>
      <c r="K139" s="3">
        <f t="shared" si="4"/>
        <v>88.23</v>
      </c>
      <c r="L139" s="2">
        <f t="shared" si="5"/>
        <v>17.646000000000001</v>
      </c>
      <c r="M139" t="s">
        <v>41</v>
      </c>
      <c r="N139" t="s">
        <v>42</v>
      </c>
      <c r="O139" t="s">
        <v>31</v>
      </c>
    </row>
    <row r="140" spans="1:15" x14ac:dyDescent="0.25">
      <c r="A140" s="1">
        <v>45305</v>
      </c>
      <c r="B140" t="s">
        <v>16</v>
      </c>
      <c r="C140" t="s">
        <v>12</v>
      </c>
      <c r="D140" t="s">
        <v>13</v>
      </c>
      <c r="E140" t="s">
        <v>18</v>
      </c>
      <c r="F140" s="2">
        <v>44.84</v>
      </c>
      <c r="G140" s="2">
        <v>120</v>
      </c>
      <c r="H140">
        <v>9</v>
      </c>
      <c r="I140" t="s">
        <v>15</v>
      </c>
      <c r="J140">
        <v>7.5</v>
      </c>
      <c r="K140" s="3">
        <f t="shared" si="4"/>
        <v>75.16</v>
      </c>
      <c r="L140" s="2">
        <f t="shared" si="5"/>
        <v>15.032</v>
      </c>
      <c r="M140" t="s">
        <v>43</v>
      </c>
      <c r="N140" t="s">
        <v>44</v>
      </c>
      <c r="O140" t="s">
        <v>31</v>
      </c>
    </row>
    <row r="141" spans="1:15" x14ac:dyDescent="0.25">
      <c r="A141" s="1">
        <v>45305</v>
      </c>
      <c r="B141" t="s">
        <v>21</v>
      </c>
      <c r="C141" t="s">
        <v>12</v>
      </c>
      <c r="D141" t="s">
        <v>24</v>
      </c>
      <c r="E141" t="s">
        <v>23</v>
      </c>
      <c r="F141" s="2">
        <v>56.04</v>
      </c>
      <c r="G141" s="2">
        <v>120</v>
      </c>
      <c r="H141">
        <v>10</v>
      </c>
      <c r="I141" t="s">
        <v>22</v>
      </c>
      <c r="J141">
        <v>4.4000000000000004</v>
      </c>
      <c r="K141" s="3">
        <f t="shared" si="4"/>
        <v>63.96</v>
      </c>
      <c r="L141" s="2">
        <f t="shared" si="5"/>
        <v>12.792000000000002</v>
      </c>
      <c r="M141" t="s">
        <v>45</v>
      </c>
      <c r="N141" t="s">
        <v>46</v>
      </c>
      <c r="O141" t="s">
        <v>28</v>
      </c>
    </row>
    <row r="142" spans="1:15" x14ac:dyDescent="0.25">
      <c r="A142" s="1">
        <v>45305</v>
      </c>
      <c r="B142" t="s">
        <v>16</v>
      </c>
      <c r="C142" t="s">
        <v>17</v>
      </c>
      <c r="D142" t="s">
        <v>24</v>
      </c>
      <c r="E142" t="s">
        <v>18</v>
      </c>
      <c r="F142" s="2">
        <v>61.41</v>
      </c>
      <c r="G142" s="2">
        <v>120</v>
      </c>
      <c r="H142">
        <v>7</v>
      </c>
      <c r="I142" t="s">
        <v>19</v>
      </c>
      <c r="J142">
        <v>9.8000000000000007</v>
      </c>
      <c r="K142" s="3">
        <f t="shared" si="4"/>
        <v>58.59</v>
      </c>
      <c r="L142" s="2">
        <f t="shared" si="5"/>
        <v>11.718000000000002</v>
      </c>
      <c r="M142" t="s">
        <v>47</v>
      </c>
      <c r="N142" t="s">
        <v>48</v>
      </c>
      <c r="O142" t="s">
        <v>28</v>
      </c>
    </row>
    <row r="143" spans="1:15" x14ac:dyDescent="0.25">
      <c r="A143" s="1">
        <v>45306</v>
      </c>
      <c r="B143" t="s">
        <v>21</v>
      </c>
      <c r="C143" t="s">
        <v>12</v>
      </c>
      <c r="D143" t="s">
        <v>13</v>
      </c>
      <c r="E143" t="s">
        <v>25</v>
      </c>
      <c r="F143" s="2">
        <v>89.21</v>
      </c>
      <c r="G143" s="2">
        <v>120</v>
      </c>
      <c r="H143">
        <v>9</v>
      </c>
      <c r="I143" t="s">
        <v>15</v>
      </c>
      <c r="J143">
        <v>6.5</v>
      </c>
      <c r="K143" s="3">
        <f t="shared" si="4"/>
        <v>30.790000000000006</v>
      </c>
      <c r="L143" s="2">
        <f t="shared" si="5"/>
        <v>6.1580000000000013</v>
      </c>
      <c r="M143" t="s">
        <v>49</v>
      </c>
      <c r="N143" t="s">
        <v>50</v>
      </c>
      <c r="O143" t="s">
        <v>31</v>
      </c>
    </row>
    <row r="144" spans="1:15" x14ac:dyDescent="0.25">
      <c r="A144" s="1">
        <v>45306</v>
      </c>
      <c r="B144" t="s">
        <v>11</v>
      </c>
      <c r="C144" t="s">
        <v>17</v>
      </c>
      <c r="D144" t="s">
        <v>24</v>
      </c>
      <c r="E144" t="s">
        <v>18</v>
      </c>
      <c r="F144" s="2">
        <v>75.66</v>
      </c>
      <c r="G144" s="2">
        <v>120</v>
      </c>
      <c r="H144">
        <v>5</v>
      </c>
      <c r="I144" t="s">
        <v>22</v>
      </c>
      <c r="J144">
        <v>7.8</v>
      </c>
      <c r="K144" s="3">
        <f t="shared" si="4"/>
        <v>44.34</v>
      </c>
      <c r="L144" s="2">
        <f t="shared" si="5"/>
        <v>8.8680000000000003</v>
      </c>
      <c r="M144" t="s">
        <v>51</v>
      </c>
      <c r="N144" t="s">
        <v>52</v>
      </c>
      <c r="O144" t="s">
        <v>29</v>
      </c>
    </row>
    <row r="145" spans="1:15" x14ac:dyDescent="0.25">
      <c r="A145" s="1">
        <v>45306</v>
      </c>
      <c r="B145" t="s">
        <v>11</v>
      </c>
      <c r="C145" t="s">
        <v>17</v>
      </c>
      <c r="D145" t="s">
        <v>13</v>
      </c>
      <c r="E145" t="s">
        <v>25</v>
      </c>
      <c r="F145" s="2">
        <v>97.37</v>
      </c>
      <c r="G145" s="2">
        <v>120</v>
      </c>
      <c r="H145">
        <v>10</v>
      </c>
      <c r="I145" t="s">
        <v>15</v>
      </c>
      <c r="J145">
        <v>4.9000000000000004</v>
      </c>
      <c r="K145" s="3">
        <f t="shared" si="4"/>
        <v>22.629999999999995</v>
      </c>
      <c r="L145" s="2">
        <f t="shared" si="5"/>
        <v>4.5259999999999989</v>
      </c>
      <c r="M145" t="s">
        <v>53</v>
      </c>
      <c r="N145" t="s">
        <v>54</v>
      </c>
      <c r="O145" t="s">
        <v>32</v>
      </c>
    </row>
    <row r="146" spans="1:15" x14ac:dyDescent="0.25">
      <c r="A146" s="1">
        <v>45306</v>
      </c>
      <c r="B146" t="s">
        <v>21</v>
      </c>
      <c r="C146" t="s">
        <v>17</v>
      </c>
      <c r="D146" t="s">
        <v>13</v>
      </c>
      <c r="E146" t="s">
        <v>20</v>
      </c>
      <c r="F146" s="2">
        <v>19.100000000000001</v>
      </c>
      <c r="G146" s="2">
        <v>120</v>
      </c>
      <c r="H146">
        <v>7</v>
      </c>
      <c r="I146" t="s">
        <v>19</v>
      </c>
      <c r="J146">
        <v>9.6999999999999993</v>
      </c>
      <c r="K146" s="3">
        <f t="shared" si="4"/>
        <v>100.9</v>
      </c>
      <c r="L146" s="2">
        <f t="shared" si="5"/>
        <v>20.180000000000003</v>
      </c>
      <c r="M146" t="s">
        <v>55</v>
      </c>
      <c r="N146" t="s">
        <v>56</v>
      </c>
      <c r="O146" t="s">
        <v>31</v>
      </c>
    </row>
    <row r="147" spans="1:15" x14ac:dyDescent="0.25">
      <c r="A147" s="1">
        <v>45306</v>
      </c>
      <c r="B147" t="s">
        <v>21</v>
      </c>
      <c r="C147" t="s">
        <v>12</v>
      </c>
      <c r="D147" t="s">
        <v>24</v>
      </c>
      <c r="E147" t="s">
        <v>14</v>
      </c>
      <c r="F147" s="2">
        <v>83.77</v>
      </c>
      <c r="G147" s="2">
        <v>120</v>
      </c>
      <c r="H147">
        <v>2</v>
      </c>
      <c r="I147" t="s">
        <v>15</v>
      </c>
      <c r="J147">
        <v>7</v>
      </c>
      <c r="K147" s="3">
        <f t="shared" si="4"/>
        <v>36.230000000000004</v>
      </c>
      <c r="L147" s="2">
        <f t="shared" si="5"/>
        <v>7.2460000000000013</v>
      </c>
      <c r="M147" t="s">
        <v>57</v>
      </c>
      <c r="N147" t="s">
        <v>58</v>
      </c>
      <c r="O147" t="s">
        <v>32</v>
      </c>
    </row>
    <row r="148" spans="1:15" x14ac:dyDescent="0.25">
      <c r="A148" s="1">
        <v>45306</v>
      </c>
      <c r="B148" t="s">
        <v>16</v>
      </c>
      <c r="C148" t="s">
        <v>17</v>
      </c>
      <c r="D148" t="s">
        <v>24</v>
      </c>
      <c r="E148" t="s">
        <v>18</v>
      </c>
      <c r="F148" s="2">
        <v>55.87</v>
      </c>
      <c r="G148" s="2">
        <v>120</v>
      </c>
      <c r="H148">
        <v>10</v>
      </c>
      <c r="I148" t="s">
        <v>19</v>
      </c>
      <c r="J148">
        <v>5.8</v>
      </c>
      <c r="K148" s="3">
        <f t="shared" si="4"/>
        <v>64.13</v>
      </c>
      <c r="L148" s="2">
        <f t="shared" si="5"/>
        <v>12.826000000000001</v>
      </c>
      <c r="M148" t="s">
        <v>59</v>
      </c>
      <c r="N148" t="s">
        <v>60</v>
      </c>
      <c r="O148" t="s">
        <v>33</v>
      </c>
    </row>
    <row r="149" spans="1:15" x14ac:dyDescent="0.25">
      <c r="A149" s="1">
        <v>45306</v>
      </c>
      <c r="B149" t="s">
        <v>11</v>
      </c>
      <c r="C149" t="s">
        <v>12</v>
      </c>
      <c r="D149" t="s">
        <v>24</v>
      </c>
      <c r="E149" t="s">
        <v>26</v>
      </c>
      <c r="F149" s="2">
        <v>66.47</v>
      </c>
      <c r="G149" s="2">
        <v>120</v>
      </c>
      <c r="H149">
        <v>10</v>
      </c>
      <c r="I149" t="s">
        <v>15</v>
      </c>
      <c r="J149">
        <v>5</v>
      </c>
      <c r="K149" s="3">
        <f t="shared" si="4"/>
        <v>53.53</v>
      </c>
      <c r="L149" s="2">
        <f t="shared" si="5"/>
        <v>10.706000000000001</v>
      </c>
      <c r="M149" t="s">
        <v>59</v>
      </c>
      <c r="N149" t="s">
        <v>61</v>
      </c>
      <c r="O149" t="s">
        <v>34</v>
      </c>
    </row>
    <row r="150" spans="1:15" x14ac:dyDescent="0.25">
      <c r="A150" s="1">
        <v>45306</v>
      </c>
      <c r="B150" t="s">
        <v>11</v>
      </c>
      <c r="C150" t="s">
        <v>12</v>
      </c>
      <c r="D150" t="s">
        <v>13</v>
      </c>
      <c r="E150" t="s">
        <v>20</v>
      </c>
      <c r="F150" s="2">
        <v>93.72</v>
      </c>
      <c r="G150" s="2">
        <v>120</v>
      </c>
      <c r="H150">
        <v>6</v>
      </c>
      <c r="I150" t="s">
        <v>19</v>
      </c>
      <c r="J150">
        <v>4.5</v>
      </c>
      <c r="K150" s="3">
        <f t="shared" si="4"/>
        <v>26.28</v>
      </c>
      <c r="L150" s="2">
        <f t="shared" si="5"/>
        <v>5.2560000000000002</v>
      </c>
      <c r="M150" t="s">
        <v>62</v>
      </c>
      <c r="N150" t="s">
        <v>63</v>
      </c>
      <c r="O150" t="s">
        <v>35</v>
      </c>
    </row>
    <row r="151" spans="1:15" x14ac:dyDescent="0.25">
      <c r="A151" s="1">
        <v>45306</v>
      </c>
      <c r="B151" t="s">
        <v>21</v>
      </c>
      <c r="C151" t="s">
        <v>17</v>
      </c>
      <c r="D151" t="s">
        <v>13</v>
      </c>
      <c r="E151" t="s">
        <v>25</v>
      </c>
      <c r="F151" s="2">
        <v>11.43</v>
      </c>
      <c r="G151" s="2">
        <v>120</v>
      </c>
      <c r="H151">
        <v>6</v>
      </c>
      <c r="I151" t="s">
        <v>19</v>
      </c>
      <c r="J151">
        <v>7.7</v>
      </c>
      <c r="K151" s="3">
        <f t="shared" si="4"/>
        <v>108.57</v>
      </c>
      <c r="L151" s="2">
        <f t="shared" si="5"/>
        <v>21.713999999999999</v>
      </c>
      <c r="M151" t="s">
        <v>64</v>
      </c>
      <c r="N151" t="s">
        <v>65</v>
      </c>
      <c r="O151" t="s">
        <v>36</v>
      </c>
    </row>
    <row r="152" spans="1:15" x14ac:dyDescent="0.25">
      <c r="A152" s="1">
        <v>45306</v>
      </c>
      <c r="B152" t="s">
        <v>11</v>
      </c>
      <c r="C152" t="s">
        <v>17</v>
      </c>
      <c r="D152" t="s">
        <v>13</v>
      </c>
      <c r="E152" t="s">
        <v>23</v>
      </c>
      <c r="F152" s="2">
        <v>73.52</v>
      </c>
      <c r="G152" s="2">
        <v>120</v>
      </c>
      <c r="H152">
        <v>2</v>
      </c>
      <c r="I152" t="s">
        <v>22</v>
      </c>
      <c r="J152">
        <v>4.5999999999999996</v>
      </c>
      <c r="K152" s="3">
        <f t="shared" si="4"/>
        <v>46.480000000000004</v>
      </c>
      <c r="L152" s="2">
        <f t="shared" si="5"/>
        <v>9.2960000000000012</v>
      </c>
      <c r="M152" t="s">
        <v>66</v>
      </c>
      <c r="N152" t="s">
        <v>67</v>
      </c>
      <c r="O152" t="s">
        <v>37</v>
      </c>
    </row>
    <row r="153" spans="1:15" x14ac:dyDescent="0.25">
      <c r="A153" s="1">
        <v>45306</v>
      </c>
      <c r="B153" t="s">
        <v>16</v>
      </c>
      <c r="C153" t="s">
        <v>12</v>
      </c>
      <c r="D153" t="s">
        <v>24</v>
      </c>
      <c r="E153" t="s">
        <v>26</v>
      </c>
      <c r="F153" s="2">
        <v>81.23</v>
      </c>
      <c r="G153" s="2">
        <v>120</v>
      </c>
      <c r="H153">
        <v>7</v>
      </c>
      <c r="I153" t="s">
        <v>19</v>
      </c>
      <c r="J153">
        <v>9</v>
      </c>
      <c r="K153" s="3">
        <f t="shared" si="4"/>
        <v>38.769999999999996</v>
      </c>
      <c r="L153" s="2">
        <f t="shared" si="5"/>
        <v>7.7539999999999996</v>
      </c>
      <c r="M153" t="s">
        <v>68</v>
      </c>
      <c r="N153" t="s">
        <v>69</v>
      </c>
      <c r="O153" t="s">
        <v>38</v>
      </c>
    </row>
    <row r="154" spans="1:15" x14ac:dyDescent="0.25">
      <c r="A154" s="1">
        <v>45306</v>
      </c>
      <c r="B154" t="s">
        <v>16</v>
      </c>
      <c r="C154" t="s">
        <v>12</v>
      </c>
      <c r="D154" t="s">
        <v>24</v>
      </c>
      <c r="E154" t="s">
        <v>14</v>
      </c>
      <c r="F154" s="2">
        <v>17.440000000000001</v>
      </c>
      <c r="G154" s="2">
        <v>120</v>
      </c>
      <c r="H154">
        <v>5</v>
      </c>
      <c r="I154" t="s">
        <v>19</v>
      </c>
      <c r="J154">
        <v>8.1</v>
      </c>
      <c r="K154" s="3">
        <f t="shared" si="4"/>
        <v>102.56</v>
      </c>
      <c r="L154" s="2">
        <f t="shared" si="5"/>
        <v>20.512</v>
      </c>
      <c r="M154" t="s">
        <v>70</v>
      </c>
      <c r="N154" t="s">
        <v>67</v>
      </c>
      <c r="O154" t="s">
        <v>28</v>
      </c>
    </row>
    <row r="155" spans="1:15" x14ac:dyDescent="0.25">
      <c r="A155" s="1">
        <v>45306</v>
      </c>
      <c r="B155" t="s">
        <v>21</v>
      </c>
      <c r="C155" t="s">
        <v>17</v>
      </c>
      <c r="D155" t="s">
        <v>13</v>
      </c>
      <c r="E155" t="s">
        <v>18</v>
      </c>
      <c r="F155" s="2">
        <v>60.88</v>
      </c>
      <c r="G155" s="2">
        <v>120</v>
      </c>
      <c r="H155">
        <v>9</v>
      </c>
      <c r="I155" t="s">
        <v>22</v>
      </c>
      <c r="J155">
        <v>4.7</v>
      </c>
      <c r="K155" s="3">
        <f t="shared" si="4"/>
        <v>59.12</v>
      </c>
      <c r="L155" s="2">
        <f t="shared" si="5"/>
        <v>11.824</v>
      </c>
      <c r="M155" t="s">
        <v>39</v>
      </c>
      <c r="N155" t="s">
        <v>40</v>
      </c>
      <c r="O155" t="s">
        <v>29</v>
      </c>
    </row>
    <row r="156" spans="1:15" x14ac:dyDescent="0.25">
      <c r="A156" s="1">
        <v>45307</v>
      </c>
      <c r="B156" t="s">
        <v>16</v>
      </c>
      <c r="C156" t="s">
        <v>17</v>
      </c>
      <c r="D156" t="s">
        <v>24</v>
      </c>
      <c r="E156" t="s">
        <v>25</v>
      </c>
      <c r="F156" s="2">
        <v>95.58</v>
      </c>
      <c r="G156" s="2">
        <v>120</v>
      </c>
      <c r="H156">
        <v>10</v>
      </c>
      <c r="I156" t="s">
        <v>19</v>
      </c>
      <c r="J156">
        <v>4.8</v>
      </c>
      <c r="K156" s="3">
        <f t="shared" si="4"/>
        <v>24.42</v>
      </c>
      <c r="L156" s="2">
        <f t="shared" si="5"/>
        <v>4.8840000000000003</v>
      </c>
      <c r="M156" t="s">
        <v>41</v>
      </c>
      <c r="N156" t="s">
        <v>42</v>
      </c>
      <c r="O156" t="s">
        <v>30</v>
      </c>
    </row>
    <row r="157" spans="1:15" x14ac:dyDescent="0.25">
      <c r="A157" s="1">
        <v>45307</v>
      </c>
      <c r="B157" t="s">
        <v>11</v>
      </c>
      <c r="C157" t="s">
        <v>12</v>
      </c>
      <c r="D157" t="s">
        <v>13</v>
      </c>
      <c r="E157" t="s">
        <v>20</v>
      </c>
      <c r="F157" s="2">
        <v>90.74</v>
      </c>
      <c r="G157" s="2">
        <v>120</v>
      </c>
      <c r="H157">
        <v>7</v>
      </c>
      <c r="I157" t="s">
        <v>15</v>
      </c>
      <c r="J157">
        <v>6.2</v>
      </c>
      <c r="K157" s="3">
        <f t="shared" si="4"/>
        <v>29.260000000000005</v>
      </c>
      <c r="L157" s="2">
        <f t="shared" si="5"/>
        <v>5.8520000000000012</v>
      </c>
      <c r="M157" t="s">
        <v>43</v>
      </c>
      <c r="N157" t="s">
        <v>44</v>
      </c>
      <c r="O157" t="s">
        <v>31</v>
      </c>
    </row>
    <row r="158" spans="1:15" x14ac:dyDescent="0.25">
      <c r="A158" s="1">
        <v>45307</v>
      </c>
      <c r="B158" t="s">
        <v>16</v>
      </c>
      <c r="C158" t="s">
        <v>17</v>
      </c>
      <c r="D158" t="s">
        <v>13</v>
      </c>
      <c r="E158" t="s">
        <v>14</v>
      </c>
      <c r="F158" s="2">
        <v>93.26</v>
      </c>
      <c r="G158" s="2">
        <v>120</v>
      </c>
      <c r="H158">
        <v>9</v>
      </c>
      <c r="I158" t="s">
        <v>19</v>
      </c>
      <c r="J158">
        <v>8.8000000000000007</v>
      </c>
      <c r="K158" s="3">
        <f t="shared" si="4"/>
        <v>26.739999999999995</v>
      </c>
      <c r="L158" s="2">
        <f t="shared" si="5"/>
        <v>5.347999999999999</v>
      </c>
      <c r="M158" t="s">
        <v>45</v>
      </c>
      <c r="N158" t="s">
        <v>46</v>
      </c>
      <c r="O158" t="s">
        <v>31</v>
      </c>
    </row>
    <row r="159" spans="1:15" x14ac:dyDescent="0.25">
      <c r="A159" s="1">
        <v>45307</v>
      </c>
      <c r="B159" t="s">
        <v>16</v>
      </c>
      <c r="C159" t="s">
        <v>12</v>
      </c>
      <c r="D159" t="s">
        <v>24</v>
      </c>
      <c r="E159" t="s">
        <v>20</v>
      </c>
      <c r="F159" s="2">
        <v>17.14</v>
      </c>
      <c r="G159" s="2">
        <v>120</v>
      </c>
      <c r="H159">
        <v>7</v>
      </c>
      <c r="I159" t="s">
        <v>15</v>
      </c>
      <c r="J159">
        <v>7.9</v>
      </c>
      <c r="K159" s="3">
        <f t="shared" si="4"/>
        <v>102.86</v>
      </c>
      <c r="L159" s="2">
        <f t="shared" si="5"/>
        <v>20.572000000000003</v>
      </c>
      <c r="M159" t="s">
        <v>47</v>
      </c>
      <c r="N159" t="s">
        <v>48</v>
      </c>
      <c r="O159" t="s">
        <v>31</v>
      </c>
    </row>
    <row r="160" spans="1:15" x14ac:dyDescent="0.25">
      <c r="A160" s="1">
        <v>45307</v>
      </c>
      <c r="B160" t="s">
        <v>11</v>
      </c>
      <c r="C160" t="s">
        <v>17</v>
      </c>
      <c r="D160" t="s">
        <v>24</v>
      </c>
      <c r="E160" t="s">
        <v>23</v>
      </c>
      <c r="F160" s="2">
        <v>39.21</v>
      </c>
      <c r="G160" s="2">
        <v>120</v>
      </c>
      <c r="H160">
        <v>4</v>
      </c>
      <c r="I160" t="s">
        <v>15</v>
      </c>
      <c r="J160">
        <v>9</v>
      </c>
      <c r="K160" s="3">
        <f t="shared" si="4"/>
        <v>80.789999999999992</v>
      </c>
      <c r="L160" s="2">
        <f t="shared" si="5"/>
        <v>16.157999999999998</v>
      </c>
      <c r="M160" t="s">
        <v>49</v>
      </c>
      <c r="N160" t="s">
        <v>50</v>
      </c>
      <c r="O160" t="s">
        <v>28</v>
      </c>
    </row>
    <row r="161" spans="1:15" x14ac:dyDescent="0.25">
      <c r="A161" s="1">
        <v>45307</v>
      </c>
      <c r="B161" t="s">
        <v>21</v>
      </c>
      <c r="C161" t="s">
        <v>12</v>
      </c>
      <c r="D161" t="s">
        <v>24</v>
      </c>
      <c r="E161" t="s">
        <v>25</v>
      </c>
      <c r="F161" s="2">
        <v>63.56</v>
      </c>
      <c r="G161" s="2">
        <v>120</v>
      </c>
      <c r="H161">
        <v>10</v>
      </c>
      <c r="I161" t="s">
        <v>19</v>
      </c>
      <c r="J161">
        <v>4.3</v>
      </c>
      <c r="K161" s="3">
        <f t="shared" si="4"/>
        <v>56.44</v>
      </c>
      <c r="L161" s="2">
        <f t="shared" si="5"/>
        <v>11.288</v>
      </c>
      <c r="M161" t="s">
        <v>51</v>
      </c>
      <c r="N161" t="s">
        <v>52</v>
      </c>
      <c r="O161" t="s">
        <v>28</v>
      </c>
    </row>
    <row r="162" spans="1:15" x14ac:dyDescent="0.25">
      <c r="A162" s="1">
        <v>45307</v>
      </c>
      <c r="B162" t="s">
        <v>16</v>
      </c>
      <c r="C162" t="s">
        <v>12</v>
      </c>
      <c r="D162" t="s">
        <v>13</v>
      </c>
      <c r="E162" t="s">
        <v>20</v>
      </c>
      <c r="F162" s="2">
        <v>15.49</v>
      </c>
      <c r="G162" s="2">
        <v>120</v>
      </c>
      <c r="H162">
        <v>2</v>
      </c>
      <c r="I162" t="s">
        <v>19</v>
      </c>
      <c r="J162">
        <v>6.3</v>
      </c>
      <c r="K162" s="3">
        <f t="shared" si="4"/>
        <v>104.51</v>
      </c>
      <c r="L162" s="2">
        <f t="shared" si="5"/>
        <v>20.902000000000001</v>
      </c>
      <c r="M162" t="s">
        <v>53</v>
      </c>
      <c r="N162" t="s">
        <v>54</v>
      </c>
      <c r="O162" t="s">
        <v>31</v>
      </c>
    </row>
    <row r="163" spans="1:15" x14ac:dyDescent="0.25">
      <c r="A163" s="1">
        <v>45307</v>
      </c>
      <c r="B163" t="s">
        <v>11</v>
      </c>
      <c r="C163" t="s">
        <v>12</v>
      </c>
      <c r="D163" t="s">
        <v>24</v>
      </c>
      <c r="E163" t="s">
        <v>23</v>
      </c>
      <c r="F163" s="2">
        <v>51.36</v>
      </c>
      <c r="G163" s="2">
        <v>120</v>
      </c>
      <c r="H163">
        <v>1</v>
      </c>
      <c r="I163" t="s">
        <v>22</v>
      </c>
      <c r="J163">
        <v>5.2</v>
      </c>
      <c r="K163" s="3">
        <f t="shared" si="4"/>
        <v>68.64</v>
      </c>
      <c r="L163" s="2">
        <f t="shared" si="5"/>
        <v>13.728000000000002</v>
      </c>
      <c r="M163" t="s">
        <v>55</v>
      </c>
      <c r="N163" t="s">
        <v>56</v>
      </c>
      <c r="O163" t="s">
        <v>29</v>
      </c>
    </row>
    <row r="164" spans="1:15" x14ac:dyDescent="0.25">
      <c r="A164" s="1">
        <v>45307</v>
      </c>
      <c r="B164" t="s">
        <v>21</v>
      </c>
      <c r="C164" t="s">
        <v>17</v>
      </c>
      <c r="D164" t="s">
        <v>13</v>
      </c>
      <c r="E164" t="s">
        <v>20</v>
      </c>
      <c r="F164" s="2">
        <v>93.18</v>
      </c>
      <c r="G164" s="2">
        <v>120</v>
      </c>
      <c r="H164">
        <v>2</v>
      </c>
      <c r="I164" t="s">
        <v>15</v>
      </c>
      <c r="J164">
        <v>8.5</v>
      </c>
      <c r="K164" s="3">
        <f t="shared" si="4"/>
        <v>26.819999999999993</v>
      </c>
      <c r="L164" s="2">
        <f t="shared" si="5"/>
        <v>5.363999999999999</v>
      </c>
      <c r="M164" t="s">
        <v>57</v>
      </c>
      <c r="N164" t="s">
        <v>58</v>
      </c>
      <c r="O164" t="s">
        <v>32</v>
      </c>
    </row>
    <row r="165" spans="1:15" x14ac:dyDescent="0.25">
      <c r="A165" s="1">
        <v>45307</v>
      </c>
      <c r="B165" t="s">
        <v>16</v>
      </c>
      <c r="C165" t="s">
        <v>17</v>
      </c>
      <c r="D165" t="s">
        <v>13</v>
      </c>
      <c r="E165" t="s">
        <v>14</v>
      </c>
      <c r="F165" s="2">
        <v>52.6</v>
      </c>
      <c r="G165" s="2">
        <v>120</v>
      </c>
      <c r="H165">
        <v>9</v>
      </c>
      <c r="I165" t="s">
        <v>19</v>
      </c>
      <c r="J165">
        <v>7.6</v>
      </c>
      <c r="K165" s="3">
        <f t="shared" si="4"/>
        <v>67.400000000000006</v>
      </c>
      <c r="L165" s="2">
        <f t="shared" si="5"/>
        <v>13.480000000000002</v>
      </c>
      <c r="M165" t="s">
        <v>59</v>
      </c>
      <c r="N165" t="s">
        <v>60</v>
      </c>
      <c r="O165" t="s">
        <v>31</v>
      </c>
    </row>
    <row r="166" spans="1:15" x14ac:dyDescent="0.25">
      <c r="A166" s="1">
        <v>45308</v>
      </c>
      <c r="B166" t="s">
        <v>11</v>
      </c>
      <c r="C166" t="s">
        <v>17</v>
      </c>
      <c r="D166" t="s">
        <v>13</v>
      </c>
      <c r="E166" t="s">
        <v>20</v>
      </c>
      <c r="F166" s="2">
        <v>40.619999999999997</v>
      </c>
      <c r="G166" s="2">
        <v>120</v>
      </c>
      <c r="H166">
        <v>2</v>
      </c>
      <c r="I166" t="s">
        <v>15</v>
      </c>
      <c r="J166">
        <v>4.0999999999999996</v>
      </c>
      <c r="K166" s="3">
        <f t="shared" si="4"/>
        <v>79.38</v>
      </c>
      <c r="L166" s="2">
        <f t="shared" si="5"/>
        <v>15.875999999999999</v>
      </c>
      <c r="M166" t="s">
        <v>59</v>
      </c>
      <c r="N166" t="s">
        <v>61</v>
      </c>
      <c r="O166" t="s">
        <v>32</v>
      </c>
    </row>
    <row r="167" spans="1:15" x14ac:dyDescent="0.25">
      <c r="A167" s="1">
        <v>45308</v>
      </c>
      <c r="B167" t="s">
        <v>21</v>
      </c>
      <c r="C167" t="s">
        <v>17</v>
      </c>
      <c r="D167" t="s">
        <v>13</v>
      </c>
      <c r="E167" t="s">
        <v>14</v>
      </c>
      <c r="F167" s="2">
        <v>81.209999999999994</v>
      </c>
      <c r="G167" s="2">
        <v>120</v>
      </c>
      <c r="H167">
        <v>10</v>
      </c>
      <c r="I167" t="s">
        <v>15</v>
      </c>
      <c r="J167">
        <v>6.3</v>
      </c>
      <c r="K167" s="3">
        <f t="shared" si="4"/>
        <v>38.790000000000006</v>
      </c>
      <c r="L167" s="2">
        <f t="shared" si="5"/>
        <v>7.7580000000000018</v>
      </c>
      <c r="M167" t="s">
        <v>62</v>
      </c>
      <c r="N167" t="s">
        <v>63</v>
      </c>
      <c r="O167" t="s">
        <v>33</v>
      </c>
    </row>
    <row r="168" spans="1:15" x14ac:dyDescent="0.25">
      <c r="A168" s="1">
        <v>45308</v>
      </c>
      <c r="B168" t="s">
        <v>11</v>
      </c>
      <c r="C168" t="s">
        <v>12</v>
      </c>
      <c r="D168" t="s">
        <v>24</v>
      </c>
      <c r="E168" t="s">
        <v>14</v>
      </c>
      <c r="F168" s="2">
        <v>57.89</v>
      </c>
      <c r="G168" s="2">
        <v>120</v>
      </c>
      <c r="H168">
        <v>2</v>
      </c>
      <c r="I168" t="s">
        <v>22</v>
      </c>
      <c r="J168">
        <v>8.9</v>
      </c>
      <c r="K168" s="3">
        <f t="shared" si="4"/>
        <v>62.11</v>
      </c>
      <c r="L168" s="2">
        <f t="shared" si="5"/>
        <v>12.422000000000001</v>
      </c>
      <c r="M168" t="s">
        <v>64</v>
      </c>
      <c r="N168" t="s">
        <v>65</v>
      </c>
      <c r="O168" t="s">
        <v>34</v>
      </c>
    </row>
    <row r="169" spans="1:15" x14ac:dyDescent="0.25">
      <c r="A169" s="1">
        <v>45308</v>
      </c>
      <c r="B169" t="s">
        <v>21</v>
      </c>
      <c r="C169" t="s">
        <v>17</v>
      </c>
      <c r="D169" t="s">
        <v>24</v>
      </c>
      <c r="E169" t="s">
        <v>25</v>
      </c>
      <c r="F169" s="2">
        <v>21.52</v>
      </c>
      <c r="G169" s="2">
        <v>120</v>
      </c>
      <c r="H169">
        <v>6</v>
      </c>
      <c r="I169" t="s">
        <v>15</v>
      </c>
      <c r="J169">
        <v>9.4</v>
      </c>
      <c r="K169" s="3">
        <f t="shared" si="4"/>
        <v>98.48</v>
      </c>
      <c r="L169" s="2">
        <f t="shared" si="5"/>
        <v>19.696000000000002</v>
      </c>
      <c r="M169" t="s">
        <v>66</v>
      </c>
      <c r="N169" t="s">
        <v>67</v>
      </c>
      <c r="O169" t="s">
        <v>35</v>
      </c>
    </row>
    <row r="170" spans="1:15" x14ac:dyDescent="0.25">
      <c r="A170" s="1">
        <v>45308</v>
      </c>
      <c r="B170" t="s">
        <v>11</v>
      </c>
      <c r="C170" t="s">
        <v>12</v>
      </c>
      <c r="D170" t="s">
        <v>13</v>
      </c>
      <c r="E170" t="s">
        <v>25</v>
      </c>
      <c r="F170" s="2">
        <v>94.59</v>
      </c>
      <c r="G170" s="2">
        <v>120</v>
      </c>
      <c r="H170">
        <v>7</v>
      </c>
      <c r="I170" t="s">
        <v>15</v>
      </c>
      <c r="J170">
        <v>4.9000000000000004</v>
      </c>
      <c r="K170" s="3">
        <f t="shared" si="4"/>
        <v>25.409999999999997</v>
      </c>
      <c r="L170" s="2">
        <f t="shared" si="5"/>
        <v>5.0819999999999999</v>
      </c>
      <c r="M170" t="s">
        <v>68</v>
      </c>
      <c r="N170" t="s">
        <v>69</v>
      </c>
      <c r="O170" t="s">
        <v>36</v>
      </c>
    </row>
    <row r="171" spans="1:15" x14ac:dyDescent="0.25">
      <c r="A171" s="1">
        <v>45308</v>
      </c>
      <c r="B171" t="s">
        <v>16</v>
      </c>
      <c r="C171" t="s">
        <v>12</v>
      </c>
      <c r="D171" t="s">
        <v>13</v>
      </c>
      <c r="E171" t="s">
        <v>26</v>
      </c>
      <c r="F171" s="2">
        <v>62.82</v>
      </c>
      <c r="G171" s="2">
        <v>120</v>
      </c>
      <c r="H171">
        <v>2</v>
      </c>
      <c r="I171" t="s">
        <v>22</v>
      </c>
      <c r="J171">
        <v>4.9000000000000004</v>
      </c>
      <c r="K171" s="3">
        <f t="shared" si="4"/>
        <v>57.18</v>
      </c>
      <c r="L171" s="2">
        <f t="shared" si="5"/>
        <v>11.436</v>
      </c>
      <c r="M171" t="s">
        <v>70</v>
      </c>
      <c r="N171" t="s">
        <v>67</v>
      </c>
      <c r="O171" t="s">
        <v>37</v>
      </c>
    </row>
    <row r="172" spans="1:15" x14ac:dyDescent="0.25">
      <c r="A172" s="1">
        <v>45308</v>
      </c>
      <c r="B172" t="s">
        <v>16</v>
      </c>
      <c r="C172" t="s">
        <v>12</v>
      </c>
      <c r="D172" t="s">
        <v>24</v>
      </c>
      <c r="E172" t="s">
        <v>14</v>
      </c>
      <c r="F172" s="2">
        <v>65.650000000000006</v>
      </c>
      <c r="G172" s="2">
        <v>120</v>
      </c>
      <c r="H172">
        <v>2</v>
      </c>
      <c r="I172" t="s">
        <v>19</v>
      </c>
      <c r="J172">
        <v>6</v>
      </c>
      <c r="K172" s="3">
        <f t="shared" si="4"/>
        <v>54.349999999999994</v>
      </c>
      <c r="L172" s="2">
        <f t="shared" si="5"/>
        <v>10.87</v>
      </c>
      <c r="M172" t="s">
        <v>39</v>
      </c>
      <c r="N172" t="s">
        <v>40</v>
      </c>
      <c r="O172" t="s">
        <v>38</v>
      </c>
    </row>
    <row r="173" spans="1:15" x14ac:dyDescent="0.25">
      <c r="A173" s="1">
        <v>45308</v>
      </c>
      <c r="B173" t="s">
        <v>16</v>
      </c>
      <c r="C173" t="s">
        <v>12</v>
      </c>
      <c r="D173" t="s">
        <v>24</v>
      </c>
      <c r="E173" t="s">
        <v>20</v>
      </c>
      <c r="F173" s="2">
        <v>71.92</v>
      </c>
      <c r="G173" s="2">
        <v>120</v>
      </c>
      <c r="H173">
        <v>5</v>
      </c>
      <c r="I173" t="s">
        <v>15</v>
      </c>
      <c r="J173">
        <v>4.3</v>
      </c>
      <c r="K173" s="3">
        <f t="shared" si="4"/>
        <v>48.08</v>
      </c>
      <c r="L173" s="2">
        <f t="shared" si="5"/>
        <v>9.6159999999999997</v>
      </c>
      <c r="M173" t="s">
        <v>41</v>
      </c>
      <c r="N173" t="s">
        <v>42</v>
      </c>
      <c r="O173" t="s">
        <v>28</v>
      </c>
    </row>
    <row r="174" spans="1:15" x14ac:dyDescent="0.25">
      <c r="A174" s="1">
        <v>45308</v>
      </c>
      <c r="B174" t="s">
        <v>21</v>
      </c>
      <c r="C174" t="s">
        <v>17</v>
      </c>
      <c r="D174" t="s">
        <v>24</v>
      </c>
      <c r="E174" t="s">
        <v>20</v>
      </c>
      <c r="F174" s="2">
        <v>25.7</v>
      </c>
      <c r="G174" s="2">
        <v>120</v>
      </c>
      <c r="H174">
        <v>3</v>
      </c>
      <c r="I174" t="s">
        <v>22</v>
      </c>
      <c r="J174">
        <v>6.1</v>
      </c>
      <c r="K174" s="3">
        <f t="shared" si="4"/>
        <v>94.3</v>
      </c>
      <c r="L174" s="2">
        <f t="shared" si="5"/>
        <v>18.86</v>
      </c>
      <c r="M174" t="s">
        <v>43</v>
      </c>
      <c r="N174" t="s">
        <v>44</v>
      </c>
      <c r="O174" t="s">
        <v>29</v>
      </c>
    </row>
    <row r="175" spans="1:15" x14ac:dyDescent="0.25">
      <c r="A175" s="1">
        <v>45308</v>
      </c>
      <c r="B175" t="s">
        <v>11</v>
      </c>
      <c r="C175" t="s">
        <v>12</v>
      </c>
      <c r="D175" t="s">
        <v>13</v>
      </c>
      <c r="E175" t="s">
        <v>25</v>
      </c>
      <c r="F175" s="2">
        <v>86.72</v>
      </c>
      <c r="G175" s="2">
        <v>120</v>
      </c>
      <c r="H175">
        <v>1</v>
      </c>
      <c r="I175" t="s">
        <v>22</v>
      </c>
      <c r="J175">
        <v>7.9</v>
      </c>
      <c r="K175" s="3">
        <f t="shared" si="4"/>
        <v>33.28</v>
      </c>
      <c r="L175" s="2">
        <f t="shared" si="5"/>
        <v>6.6560000000000006</v>
      </c>
      <c r="M175" t="s">
        <v>45</v>
      </c>
      <c r="N175" t="s">
        <v>46</v>
      </c>
      <c r="O175" t="s">
        <v>30</v>
      </c>
    </row>
    <row r="176" spans="1:15" x14ac:dyDescent="0.25">
      <c r="A176" s="1">
        <v>45308</v>
      </c>
      <c r="B176" t="s">
        <v>21</v>
      </c>
      <c r="C176" t="s">
        <v>17</v>
      </c>
      <c r="D176" t="s">
        <v>24</v>
      </c>
      <c r="E176" t="s">
        <v>20</v>
      </c>
      <c r="F176" s="2">
        <v>58.91</v>
      </c>
      <c r="G176" s="2">
        <v>120</v>
      </c>
      <c r="H176">
        <v>7</v>
      </c>
      <c r="I176" t="s">
        <v>22</v>
      </c>
      <c r="J176">
        <v>9.6999999999999993</v>
      </c>
      <c r="K176" s="3">
        <f t="shared" si="4"/>
        <v>61.09</v>
      </c>
      <c r="L176" s="2">
        <f t="shared" si="5"/>
        <v>12.218000000000002</v>
      </c>
      <c r="M176" t="s">
        <v>47</v>
      </c>
      <c r="N176" t="s">
        <v>48</v>
      </c>
      <c r="O176" t="s">
        <v>31</v>
      </c>
    </row>
    <row r="177" spans="1:15" x14ac:dyDescent="0.25">
      <c r="A177" s="1">
        <v>45309</v>
      </c>
      <c r="B177" t="s">
        <v>21</v>
      </c>
      <c r="C177" t="s">
        <v>12</v>
      </c>
      <c r="D177" t="s">
        <v>13</v>
      </c>
      <c r="E177" t="s">
        <v>23</v>
      </c>
      <c r="F177" s="2">
        <v>88.15</v>
      </c>
      <c r="G177" s="2">
        <v>120</v>
      </c>
      <c r="H177">
        <v>3</v>
      </c>
      <c r="I177" t="s">
        <v>22</v>
      </c>
      <c r="J177">
        <v>7.9</v>
      </c>
      <c r="K177" s="3">
        <f t="shared" si="4"/>
        <v>31.849999999999994</v>
      </c>
      <c r="L177" s="2">
        <f t="shared" si="5"/>
        <v>6.3699999999999992</v>
      </c>
      <c r="M177" t="s">
        <v>49</v>
      </c>
      <c r="N177" t="s">
        <v>50</v>
      </c>
      <c r="O177" t="s">
        <v>31</v>
      </c>
    </row>
    <row r="178" spans="1:15" x14ac:dyDescent="0.25">
      <c r="A178" s="1">
        <v>45309</v>
      </c>
      <c r="B178" t="s">
        <v>16</v>
      </c>
      <c r="C178" t="s">
        <v>17</v>
      </c>
      <c r="D178" t="s">
        <v>13</v>
      </c>
      <c r="E178" t="s">
        <v>26</v>
      </c>
      <c r="F178" s="2">
        <v>39.42</v>
      </c>
      <c r="G178" s="2">
        <v>120</v>
      </c>
      <c r="H178">
        <v>1</v>
      </c>
      <c r="I178" t="s">
        <v>19</v>
      </c>
      <c r="J178">
        <v>8.4</v>
      </c>
      <c r="K178" s="3">
        <f t="shared" si="4"/>
        <v>80.58</v>
      </c>
      <c r="L178" s="2">
        <f t="shared" si="5"/>
        <v>16.116</v>
      </c>
      <c r="M178" t="s">
        <v>51</v>
      </c>
      <c r="N178" t="s">
        <v>52</v>
      </c>
      <c r="O178" t="s">
        <v>31</v>
      </c>
    </row>
    <row r="179" spans="1:15" x14ac:dyDescent="0.25">
      <c r="A179" s="1">
        <v>45309</v>
      </c>
      <c r="B179" t="s">
        <v>21</v>
      </c>
      <c r="C179" t="s">
        <v>17</v>
      </c>
      <c r="D179" t="s">
        <v>13</v>
      </c>
      <c r="E179" t="s">
        <v>18</v>
      </c>
      <c r="F179" s="2">
        <v>26.31</v>
      </c>
      <c r="G179" s="2">
        <v>120</v>
      </c>
      <c r="H179">
        <v>5</v>
      </c>
      <c r="I179" t="s">
        <v>15</v>
      </c>
      <c r="J179">
        <v>8.8000000000000007</v>
      </c>
      <c r="K179" s="3">
        <f t="shared" si="4"/>
        <v>93.69</v>
      </c>
      <c r="L179" s="2">
        <f t="shared" si="5"/>
        <v>18.738</v>
      </c>
      <c r="M179" t="s">
        <v>53</v>
      </c>
      <c r="N179" t="s">
        <v>54</v>
      </c>
      <c r="O179" t="s">
        <v>28</v>
      </c>
    </row>
    <row r="180" spans="1:15" x14ac:dyDescent="0.25">
      <c r="A180" s="1">
        <v>45309</v>
      </c>
      <c r="B180" t="s">
        <v>16</v>
      </c>
      <c r="C180" t="s">
        <v>17</v>
      </c>
      <c r="D180" t="s">
        <v>24</v>
      </c>
      <c r="E180" t="s">
        <v>23</v>
      </c>
      <c r="F180" s="2">
        <v>60.74</v>
      </c>
      <c r="G180" s="2">
        <v>120</v>
      </c>
      <c r="H180">
        <v>7</v>
      </c>
      <c r="I180" t="s">
        <v>22</v>
      </c>
      <c r="J180">
        <v>5</v>
      </c>
      <c r="K180" s="3">
        <f t="shared" si="4"/>
        <v>59.26</v>
      </c>
      <c r="L180" s="2">
        <f t="shared" si="5"/>
        <v>11.852</v>
      </c>
      <c r="M180" t="s">
        <v>55</v>
      </c>
      <c r="N180" t="s">
        <v>56</v>
      </c>
      <c r="O180" t="s">
        <v>28</v>
      </c>
    </row>
    <row r="181" spans="1:15" x14ac:dyDescent="0.25">
      <c r="A181" s="1">
        <v>45309</v>
      </c>
      <c r="B181" t="s">
        <v>11</v>
      </c>
      <c r="C181" t="s">
        <v>17</v>
      </c>
      <c r="D181" t="s">
        <v>24</v>
      </c>
      <c r="E181" t="s">
        <v>14</v>
      </c>
      <c r="F181" s="2">
        <v>19.79</v>
      </c>
      <c r="G181" s="2">
        <v>120</v>
      </c>
      <c r="H181">
        <v>8</v>
      </c>
      <c r="I181" t="s">
        <v>22</v>
      </c>
      <c r="J181">
        <v>8.6999999999999993</v>
      </c>
      <c r="K181" s="3">
        <f t="shared" si="4"/>
        <v>100.21000000000001</v>
      </c>
      <c r="L181" s="2">
        <f t="shared" si="5"/>
        <v>20.042000000000002</v>
      </c>
      <c r="M181" t="s">
        <v>57</v>
      </c>
      <c r="N181" t="s">
        <v>58</v>
      </c>
      <c r="O181" t="s">
        <v>31</v>
      </c>
    </row>
    <row r="182" spans="1:15" x14ac:dyDescent="0.25">
      <c r="A182" s="1">
        <v>45309</v>
      </c>
      <c r="B182" t="s">
        <v>21</v>
      </c>
      <c r="C182" t="s">
        <v>12</v>
      </c>
      <c r="D182" t="s">
        <v>24</v>
      </c>
      <c r="E182" t="s">
        <v>25</v>
      </c>
      <c r="F182" s="2">
        <v>19.36</v>
      </c>
      <c r="G182" s="2">
        <v>120</v>
      </c>
      <c r="H182">
        <v>9</v>
      </c>
      <c r="I182" t="s">
        <v>22</v>
      </c>
      <c r="J182">
        <v>8.6999999999999993</v>
      </c>
      <c r="K182" s="3">
        <f t="shared" si="4"/>
        <v>100.64</v>
      </c>
      <c r="L182" s="2">
        <f t="shared" si="5"/>
        <v>20.128</v>
      </c>
      <c r="M182" t="s">
        <v>59</v>
      </c>
      <c r="N182" t="s">
        <v>60</v>
      </c>
      <c r="O182" t="s">
        <v>29</v>
      </c>
    </row>
    <row r="183" spans="1:15" x14ac:dyDescent="0.25">
      <c r="A183" s="1">
        <v>45309</v>
      </c>
      <c r="B183" t="s">
        <v>21</v>
      </c>
      <c r="C183" t="s">
        <v>12</v>
      </c>
      <c r="D183" t="s">
        <v>24</v>
      </c>
      <c r="E183" t="s">
        <v>20</v>
      </c>
      <c r="F183" s="2">
        <v>89.06</v>
      </c>
      <c r="G183" s="2">
        <v>120</v>
      </c>
      <c r="H183">
        <v>6</v>
      </c>
      <c r="I183" t="s">
        <v>19</v>
      </c>
      <c r="J183">
        <v>9.9</v>
      </c>
      <c r="K183" s="3">
        <f t="shared" si="4"/>
        <v>30.939999999999998</v>
      </c>
      <c r="L183" s="2">
        <f t="shared" si="5"/>
        <v>6.1879999999999997</v>
      </c>
      <c r="M183" t="s">
        <v>59</v>
      </c>
      <c r="N183" t="s">
        <v>61</v>
      </c>
      <c r="O183" t="s">
        <v>32</v>
      </c>
    </row>
    <row r="184" spans="1:15" x14ac:dyDescent="0.25">
      <c r="A184" s="1">
        <v>45309</v>
      </c>
      <c r="B184" t="s">
        <v>16</v>
      </c>
      <c r="C184" t="s">
        <v>12</v>
      </c>
      <c r="D184" t="s">
        <v>13</v>
      </c>
      <c r="E184" t="s">
        <v>20</v>
      </c>
      <c r="F184" s="2">
        <v>90.63</v>
      </c>
      <c r="G184" s="2">
        <v>120</v>
      </c>
      <c r="H184">
        <v>9</v>
      </c>
      <c r="I184" t="s">
        <v>19</v>
      </c>
      <c r="J184">
        <v>5.0999999999999996</v>
      </c>
      <c r="K184" s="3">
        <f t="shared" si="4"/>
        <v>29.370000000000005</v>
      </c>
      <c r="L184" s="2">
        <f t="shared" si="5"/>
        <v>5.8740000000000014</v>
      </c>
      <c r="M184" t="s">
        <v>62</v>
      </c>
      <c r="N184" t="s">
        <v>63</v>
      </c>
      <c r="O184" t="s">
        <v>31</v>
      </c>
    </row>
    <row r="185" spans="1:15" x14ac:dyDescent="0.25">
      <c r="A185" s="1">
        <v>45309</v>
      </c>
      <c r="B185" t="s">
        <v>11</v>
      </c>
      <c r="C185" t="s">
        <v>12</v>
      </c>
      <c r="D185" t="s">
        <v>13</v>
      </c>
      <c r="E185" t="s">
        <v>23</v>
      </c>
      <c r="F185" s="2">
        <v>17.48</v>
      </c>
      <c r="G185" s="2">
        <v>120</v>
      </c>
      <c r="H185">
        <v>6</v>
      </c>
      <c r="I185" t="s">
        <v>15</v>
      </c>
      <c r="J185">
        <v>6.1</v>
      </c>
      <c r="K185" s="3">
        <f t="shared" si="4"/>
        <v>102.52</v>
      </c>
      <c r="L185" s="2">
        <f t="shared" si="5"/>
        <v>20.504000000000001</v>
      </c>
      <c r="M185" t="s">
        <v>64</v>
      </c>
      <c r="N185" t="s">
        <v>65</v>
      </c>
      <c r="O185" t="s">
        <v>32</v>
      </c>
    </row>
    <row r="186" spans="1:15" x14ac:dyDescent="0.25">
      <c r="A186" s="1">
        <v>45310</v>
      </c>
      <c r="B186" t="s">
        <v>11</v>
      </c>
      <c r="C186" t="s">
        <v>12</v>
      </c>
      <c r="D186" t="s">
        <v>13</v>
      </c>
      <c r="E186" t="s">
        <v>18</v>
      </c>
      <c r="F186" s="2">
        <v>12.1</v>
      </c>
      <c r="G186" s="2">
        <v>120</v>
      </c>
      <c r="H186">
        <v>8</v>
      </c>
      <c r="I186" t="s">
        <v>22</v>
      </c>
      <c r="J186">
        <v>8.6</v>
      </c>
      <c r="K186" s="3">
        <f t="shared" si="4"/>
        <v>107.9</v>
      </c>
      <c r="L186" s="2">
        <f t="shared" si="5"/>
        <v>21.580000000000002</v>
      </c>
      <c r="M186" t="s">
        <v>66</v>
      </c>
      <c r="N186" t="s">
        <v>67</v>
      </c>
      <c r="O186" t="s">
        <v>33</v>
      </c>
    </row>
    <row r="187" spans="1:15" x14ac:dyDescent="0.25">
      <c r="A187" s="1">
        <v>45310</v>
      </c>
      <c r="B187" t="s">
        <v>16</v>
      </c>
      <c r="C187" t="s">
        <v>12</v>
      </c>
      <c r="D187" t="s">
        <v>24</v>
      </c>
      <c r="E187" t="s">
        <v>20</v>
      </c>
      <c r="F187" s="2">
        <v>80.930000000000007</v>
      </c>
      <c r="G187" s="2">
        <v>120</v>
      </c>
      <c r="H187">
        <v>1</v>
      </c>
      <c r="I187" t="s">
        <v>15</v>
      </c>
      <c r="J187">
        <v>9</v>
      </c>
      <c r="K187" s="3">
        <f t="shared" si="4"/>
        <v>39.069999999999993</v>
      </c>
      <c r="L187" s="2">
        <f t="shared" si="5"/>
        <v>7.8139999999999992</v>
      </c>
      <c r="M187" t="s">
        <v>68</v>
      </c>
      <c r="N187" t="s">
        <v>69</v>
      </c>
      <c r="O187" t="s">
        <v>34</v>
      </c>
    </row>
    <row r="188" spans="1:15" x14ac:dyDescent="0.25">
      <c r="A188" s="1">
        <v>45310</v>
      </c>
      <c r="B188" t="s">
        <v>21</v>
      </c>
      <c r="C188" t="s">
        <v>17</v>
      </c>
      <c r="D188" t="s">
        <v>13</v>
      </c>
      <c r="E188" t="s">
        <v>23</v>
      </c>
      <c r="F188" s="2">
        <v>99.1</v>
      </c>
      <c r="G188" s="2">
        <v>120</v>
      </c>
      <c r="H188">
        <v>6</v>
      </c>
      <c r="I188" t="s">
        <v>19</v>
      </c>
      <c r="J188">
        <v>4.2</v>
      </c>
      <c r="K188" s="3">
        <f t="shared" si="4"/>
        <v>20.900000000000006</v>
      </c>
      <c r="L188" s="2">
        <f t="shared" si="5"/>
        <v>4.1800000000000015</v>
      </c>
      <c r="M188" t="s">
        <v>70</v>
      </c>
      <c r="N188" t="s">
        <v>67</v>
      </c>
      <c r="O188" t="s">
        <v>35</v>
      </c>
    </row>
    <row r="189" spans="1:15" x14ac:dyDescent="0.25">
      <c r="A189" s="1">
        <v>45310</v>
      </c>
      <c r="B189" t="s">
        <v>11</v>
      </c>
      <c r="C189" t="s">
        <v>17</v>
      </c>
      <c r="D189" t="s">
        <v>24</v>
      </c>
      <c r="E189" t="s">
        <v>20</v>
      </c>
      <c r="F189" s="2">
        <v>63.06</v>
      </c>
      <c r="G189" s="2">
        <v>120</v>
      </c>
      <c r="H189">
        <v>3</v>
      </c>
      <c r="I189" t="s">
        <v>22</v>
      </c>
      <c r="J189">
        <v>7</v>
      </c>
      <c r="K189" s="3">
        <f t="shared" si="4"/>
        <v>56.94</v>
      </c>
      <c r="L189" s="2">
        <f t="shared" si="5"/>
        <v>11.388</v>
      </c>
      <c r="M189" t="s">
        <v>39</v>
      </c>
      <c r="N189" t="s">
        <v>40</v>
      </c>
      <c r="O189" t="s">
        <v>36</v>
      </c>
    </row>
    <row r="190" spans="1:15" x14ac:dyDescent="0.25">
      <c r="A190" s="1">
        <v>45310</v>
      </c>
      <c r="B190" t="s">
        <v>21</v>
      </c>
      <c r="C190" t="s">
        <v>17</v>
      </c>
      <c r="D190" t="s">
        <v>24</v>
      </c>
      <c r="E190" t="s">
        <v>20</v>
      </c>
      <c r="F190" s="2">
        <v>64.19</v>
      </c>
      <c r="G190" s="2">
        <v>120</v>
      </c>
      <c r="H190">
        <v>10</v>
      </c>
      <c r="I190" t="s">
        <v>15</v>
      </c>
      <c r="J190">
        <v>6.7</v>
      </c>
      <c r="K190" s="3">
        <f t="shared" si="4"/>
        <v>55.81</v>
      </c>
      <c r="L190" s="2">
        <f t="shared" si="5"/>
        <v>11.162000000000001</v>
      </c>
      <c r="M190" t="s">
        <v>41</v>
      </c>
      <c r="N190" t="s">
        <v>42</v>
      </c>
      <c r="O190" t="s">
        <v>37</v>
      </c>
    </row>
    <row r="191" spans="1:15" x14ac:dyDescent="0.25">
      <c r="A191" s="1">
        <v>45310</v>
      </c>
      <c r="B191" t="s">
        <v>21</v>
      </c>
      <c r="C191" t="s">
        <v>17</v>
      </c>
      <c r="D191" t="s">
        <v>13</v>
      </c>
      <c r="E191" t="s">
        <v>25</v>
      </c>
      <c r="F191" s="2">
        <v>45.68</v>
      </c>
      <c r="G191" s="2">
        <v>120</v>
      </c>
      <c r="H191">
        <v>10</v>
      </c>
      <c r="I191" t="s">
        <v>22</v>
      </c>
      <c r="J191">
        <v>5.7</v>
      </c>
      <c r="K191" s="3">
        <f t="shared" si="4"/>
        <v>74.319999999999993</v>
      </c>
      <c r="L191" s="2">
        <f t="shared" si="5"/>
        <v>14.863999999999999</v>
      </c>
      <c r="M191" t="s">
        <v>43</v>
      </c>
      <c r="N191" t="s">
        <v>44</v>
      </c>
      <c r="O191" t="s">
        <v>38</v>
      </c>
    </row>
    <row r="192" spans="1:15" x14ac:dyDescent="0.25">
      <c r="A192" s="1">
        <v>45310</v>
      </c>
      <c r="B192" t="s">
        <v>16</v>
      </c>
      <c r="C192" t="s">
        <v>12</v>
      </c>
      <c r="D192" t="s">
        <v>24</v>
      </c>
      <c r="E192" t="s">
        <v>14</v>
      </c>
      <c r="F192" s="2">
        <v>59.59</v>
      </c>
      <c r="G192" s="2">
        <v>120</v>
      </c>
      <c r="H192">
        <v>4</v>
      </c>
      <c r="I192" t="s">
        <v>19</v>
      </c>
      <c r="J192">
        <v>9.8000000000000007</v>
      </c>
      <c r="K192" s="3">
        <f t="shared" si="4"/>
        <v>60.41</v>
      </c>
      <c r="L192" s="2">
        <f t="shared" si="5"/>
        <v>12.082000000000001</v>
      </c>
      <c r="M192" t="s">
        <v>45</v>
      </c>
      <c r="N192" t="s">
        <v>46</v>
      </c>
      <c r="O192" t="s">
        <v>28</v>
      </c>
    </row>
    <row r="193" spans="1:15" x14ac:dyDescent="0.25">
      <c r="A193" s="1">
        <v>45310</v>
      </c>
      <c r="B193" t="s">
        <v>21</v>
      </c>
      <c r="C193" t="s">
        <v>12</v>
      </c>
      <c r="D193" t="s">
        <v>24</v>
      </c>
      <c r="E193" t="s">
        <v>18</v>
      </c>
      <c r="F193" s="2">
        <v>11.94</v>
      </c>
      <c r="G193" s="2">
        <v>120</v>
      </c>
      <c r="H193">
        <v>3</v>
      </c>
      <c r="I193" t="s">
        <v>15</v>
      </c>
      <c r="J193">
        <v>8.1</v>
      </c>
      <c r="K193" s="3">
        <f t="shared" si="4"/>
        <v>108.06</v>
      </c>
      <c r="L193" s="2">
        <f t="shared" si="5"/>
        <v>21.612000000000002</v>
      </c>
      <c r="M193" t="s">
        <v>47</v>
      </c>
      <c r="N193" t="s">
        <v>48</v>
      </c>
      <c r="O193" t="s">
        <v>29</v>
      </c>
    </row>
    <row r="194" spans="1:15" x14ac:dyDescent="0.25">
      <c r="A194" s="1">
        <v>45310</v>
      </c>
      <c r="B194" t="s">
        <v>16</v>
      </c>
      <c r="C194" t="s">
        <v>17</v>
      </c>
      <c r="D194" t="s">
        <v>13</v>
      </c>
      <c r="E194" t="s">
        <v>18</v>
      </c>
      <c r="F194" s="2">
        <v>56.13</v>
      </c>
      <c r="G194" s="2">
        <v>120</v>
      </c>
      <c r="H194">
        <v>4</v>
      </c>
      <c r="I194" t="s">
        <v>22</v>
      </c>
      <c r="J194">
        <v>8.6</v>
      </c>
      <c r="K194" s="3">
        <f t="shared" ref="K194:K257" si="6">G194-F194</f>
        <v>63.87</v>
      </c>
      <c r="L194" s="2">
        <f t="shared" ref="L194:L257" si="7">IF(G194&gt;30,K194*0.2,G194*0.1)</f>
        <v>12.774000000000001</v>
      </c>
      <c r="M194" t="s">
        <v>49</v>
      </c>
      <c r="N194" t="s">
        <v>50</v>
      </c>
      <c r="O194" t="s">
        <v>30</v>
      </c>
    </row>
    <row r="195" spans="1:15" x14ac:dyDescent="0.25">
      <c r="A195" s="1">
        <v>45310</v>
      </c>
      <c r="B195" t="s">
        <v>16</v>
      </c>
      <c r="C195" t="s">
        <v>17</v>
      </c>
      <c r="D195" t="s">
        <v>13</v>
      </c>
      <c r="E195" t="s">
        <v>14</v>
      </c>
      <c r="F195" s="2">
        <v>43.18</v>
      </c>
      <c r="G195" s="2">
        <v>120</v>
      </c>
      <c r="H195">
        <v>8</v>
      </c>
      <c r="I195" t="s">
        <v>15</v>
      </c>
      <c r="J195">
        <v>8.3000000000000007</v>
      </c>
      <c r="K195" s="3">
        <f t="shared" si="6"/>
        <v>76.819999999999993</v>
      </c>
      <c r="L195" s="2">
        <f t="shared" si="7"/>
        <v>15.363999999999999</v>
      </c>
      <c r="M195" t="s">
        <v>51</v>
      </c>
      <c r="N195" t="s">
        <v>52</v>
      </c>
      <c r="O195" t="s">
        <v>31</v>
      </c>
    </row>
    <row r="196" spans="1:15" x14ac:dyDescent="0.25">
      <c r="A196" s="1">
        <v>45310</v>
      </c>
      <c r="B196" t="s">
        <v>11</v>
      </c>
      <c r="C196" t="s">
        <v>12</v>
      </c>
      <c r="D196" t="s">
        <v>24</v>
      </c>
      <c r="E196" t="s">
        <v>18</v>
      </c>
      <c r="F196" s="2">
        <v>52.89</v>
      </c>
      <c r="G196" s="2">
        <v>120</v>
      </c>
      <c r="H196">
        <v>6</v>
      </c>
      <c r="I196" t="s">
        <v>15</v>
      </c>
      <c r="J196">
        <v>9.8000000000000007</v>
      </c>
      <c r="K196" s="3">
        <f t="shared" si="6"/>
        <v>67.11</v>
      </c>
      <c r="L196" s="2">
        <f t="shared" si="7"/>
        <v>13.422000000000001</v>
      </c>
      <c r="M196" t="s">
        <v>53</v>
      </c>
      <c r="N196" t="s">
        <v>54</v>
      </c>
      <c r="O196" t="s">
        <v>31</v>
      </c>
    </row>
    <row r="197" spans="1:15" x14ac:dyDescent="0.25">
      <c r="A197" s="1">
        <v>45310</v>
      </c>
      <c r="B197" t="s">
        <v>21</v>
      </c>
      <c r="C197" t="s">
        <v>17</v>
      </c>
      <c r="D197" t="s">
        <v>24</v>
      </c>
      <c r="E197" t="s">
        <v>14</v>
      </c>
      <c r="F197" s="2">
        <v>33.880000000000003</v>
      </c>
      <c r="G197" s="2">
        <v>120</v>
      </c>
      <c r="H197">
        <v>8</v>
      </c>
      <c r="I197" t="s">
        <v>22</v>
      </c>
      <c r="J197">
        <v>9.6</v>
      </c>
      <c r="K197" s="3">
        <f t="shared" si="6"/>
        <v>86.12</v>
      </c>
      <c r="L197" s="2">
        <f t="shared" si="7"/>
        <v>17.224</v>
      </c>
      <c r="M197" t="s">
        <v>55</v>
      </c>
      <c r="N197" t="s">
        <v>56</v>
      </c>
      <c r="O197" t="s">
        <v>31</v>
      </c>
    </row>
    <row r="198" spans="1:15" x14ac:dyDescent="0.25">
      <c r="A198" s="1">
        <v>45310</v>
      </c>
      <c r="B198" t="s">
        <v>21</v>
      </c>
      <c r="C198" t="s">
        <v>12</v>
      </c>
      <c r="D198" t="s">
        <v>24</v>
      </c>
      <c r="E198" t="s">
        <v>20</v>
      </c>
      <c r="F198" s="2">
        <v>67.260000000000005</v>
      </c>
      <c r="G198" s="2">
        <v>120</v>
      </c>
      <c r="H198">
        <v>4</v>
      </c>
      <c r="I198" t="s">
        <v>15</v>
      </c>
      <c r="J198">
        <v>8</v>
      </c>
      <c r="K198" s="3">
        <f t="shared" si="6"/>
        <v>52.739999999999995</v>
      </c>
      <c r="L198" s="2">
        <f t="shared" si="7"/>
        <v>10.548</v>
      </c>
      <c r="M198" t="s">
        <v>57</v>
      </c>
      <c r="N198" t="s">
        <v>58</v>
      </c>
      <c r="O198" t="s">
        <v>28</v>
      </c>
    </row>
    <row r="199" spans="1:15" x14ac:dyDescent="0.25">
      <c r="A199" s="1">
        <v>45310</v>
      </c>
      <c r="B199" t="s">
        <v>16</v>
      </c>
      <c r="C199" t="s">
        <v>12</v>
      </c>
      <c r="D199" t="s">
        <v>13</v>
      </c>
      <c r="E199" t="s">
        <v>25</v>
      </c>
      <c r="F199" s="2">
        <v>88.61</v>
      </c>
      <c r="G199" s="2">
        <v>120</v>
      </c>
      <c r="H199">
        <v>1</v>
      </c>
      <c r="I199" t="s">
        <v>19</v>
      </c>
      <c r="J199">
        <v>7.7</v>
      </c>
      <c r="K199" s="3">
        <f t="shared" si="6"/>
        <v>31.39</v>
      </c>
      <c r="L199" s="2">
        <f t="shared" si="7"/>
        <v>6.2780000000000005</v>
      </c>
      <c r="M199" t="s">
        <v>59</v>
      </c>
      <c r="N199" t="s">
        <v>60</v>
      </c>
      <c r="O199" t="s">
        <v>28</v>
      </c>
    </row>
    <row r="200" spans="1:15" x14ac:dyDescent="0.25">
      <c r="A200" s="1">
        <v>45310</v>
      </c>
      <c r="B200" t="s">
        <v>21</v>
      </c>
      <c r="C200" t="s">
        <v>12</v>
      </c>
      <c r="D200" t="s">
        <v>24</v>
      </c>
      <c r="E200" t="s">
        <v>25</v>
      </c>
      <c r="F200" s="2">
        <v>58.07</v>
      </c>
      <c r="G200" s="2">
        <v>120</v>
      </c>
      <c r="H200">
        <v>9</v>
      </c>
      <c r="I200" t="s">
        <v>22</v>
      </c>
      <c r="J200">
        <v>4.3</v>
      </c>
      <c r="K200" s="3">
        <f t="shared" si="6"/>
        <v>61.93</v>
      </c>
      <c r="L200" s="2">
        <f t="shared" si="7"/>
        <v>12.386000000000001</v>
      </c>
      <c r="M200" t="s">
        <v>59</v>
      </c>
      <c r="N200" t="s">
        <v>61</v>
      </c>
      <c r="O200" t="s">
        <v>31</v>
      </c>
    </row>
    <row r="201" spans="1:15" x14ac:dyDescent="0.25">
      <c r="A201" s="1">
        <v>45310</v>
      </c>
      <c r="B201" t="s">
        <v>21</v>
      </c>
      <c r="C201" t="s">
        <v>17</v>
      </c>
      <c r="D201" t="s">
        <v>24</v>
      </c>
      <c r="E201" t="s">
        <v>14</v>
      </c>
      <c r="F201" s="2">
        <v>51.28</v>
      </c>
      <c r="G201" s="2">
        <v>120</v>
      </c>
      <c r="H201">
        <v>6</v>
      </c>
      <c r="I201" t="s">
        <v>19</v>
      </c>
      <c r="J201">
        <v>6.5</v>
      </c>
      <c r="K201" s="3">
        <f t="shared" si="6"/>
        <v>68.72</v>
      </c>
      <c r="L201" s="2">
        <f t="shared" si="7"/>
        <v>13.744</v>
      </c>
      <c r="M201" t="s">
        <v>62</v>
      </c>
      <c r="N201" t="s">
        <v>63</v>
      </c>
      <c r="O201" t="s">
        <v>29</v>
      </c>
    </row>
    <row r="202" spans="1:15" x14ac:dyDescent="0.25">
      <c r="A202" s="1">
        <v>45311</v>
      </c>
      <c r="B202" t="s">
        <v>16</v>
      </c>
      <c r="C202" t="s">
        <v>12</v>
      </c>
      <c r="D202" t="s">
        <v>24</v>
      </c>
      <c r="E202" t="s">
        <v>20</v>
      </c>
      <c r="F202" s="2">
        <v>82.93</v>
      </c>
      <c r="G202" s="2">
        <v>120</v>
      </c>
      <c r="H202">
        <v>4</v>
      </c>
      <c r="I202" t="s">
        <v>22</v>
      </c>
      <c r="J202">
        <v>9.6</v>
      </c>
      <c r="K202" s="3">
        <f t="shared" si="6"/>
        <v>37.069999999999993</v>
      </c>
      <c r="L202" s="2">
        <f t="shared" si="7"/>
        <v>7.4139999999999988</v>
      </c>
      <c r="M202" t="s">
        <v>64</v>
      </c>
      <c r="N202" t="s">
        <v>65</v>
      </c>
      <c r="O202" t="s">
        <v>32</v>
      </c>
    </row>
    <row r="203" spans="1:15" x14ac:dyDescent="0.25">
      <c r="A203" s="1">
        <v>45311</v>
      </c>
      <c r="B203" t="s">
        <v>21</v>
      </c>
      <c r="C203" t="s">
        <v>12</v>
      </c>
      <c r="D203" t="s">
        <v>24</v>
      </c>
      <c r="E203" t="s">
        <v>26</v>
      </c>
      <c r="F203" s="2">
        <v>55.5</v>
      </c>
      <c r="G203" s="2">
        <v>120</v>
      </c>
      <c r="H203">
        <v>4</v>
      </c>
      <c r="I203" t="s">
        <v>15</v>
      </c>
      <c r="J203">
        <v>6.6</v>
      </c>
      <c r="K203" s="3">
        <f t="shared" si="6"/>
        <v>64.5</v>
      </c>
      <c r="L203" s="2">
        <f t="shared" si="7"/>
        <v>12.9</v>
      </c>
      <c r="M203" t="s">
        <v>66</v>
      </c>
      <c r="N203" t="s">
        <v>67</v>
      </c>
      <c r="O203" t="s">
        <v>31</v>
      </c>
    </row>
    <row r="204" spans="1:15" x14ac:dyDescent="0.25">
      <c r="A204" s="1">
        <v>45311</v>
      </c>
      <c r="B204" t="s">
        <v>21</v>
      </c>
      <c r="C204" t="s">
        <v>17</v>
      </c>
      <c r="D204" t="s">
        <v>13</v>
      </c>
      <c r="E204" t="s">
        <v>20</v>
      </c>
      <c r="F204" s="2">
        <v>93.14</v>
      </c>
      <c r="G204" s="2">
        <v>120</v>
      </c>
      <c r="H204">
        <v>2</v>
      </c>
      <c r="I204" t="s">
        <v>22</v>
      </c>
      <c r="J204">
        <v>4.0999999999999996</v>
      </c>
      <c r="K204" s="3">
        <f t="shared" si="6"/>
        <v>26.86</v>
      </c>
      <c r="L204" s="2">
        <f t="shared" si="7"/>
        <v>5.3719999999999999</v>
      </c>
      <c r="M204" t="s">
        <v>68</v>
      </c>
      <c r="N204" t="s">
        <v>69</v>
      </c>
      <c r="O204" t="s">
        <v>32</v>
      </c>
    </row>
    <row r="205" spans="1:15" x14ac:dyDescent="0.25">
      <c r="A205" s="1">
        <v>45311</v>
      </c>
      <c r="B205" t="s">
        <v>11</v>
      </c>
      <c r="C205" t="s">
        <v>17</v>
      </c>
      <c r="D205" t="s">
        <v>24</v>
      </c>
      <c r="E205" t="s">
        <v>25</v>
      </c>
      <c r="F205" s="2">
        <v>53.44</v>
      </c>
      <c r="G205" s="2">
        <v>120</v>
      </c>
      <c r="H205">
        <v>2</v>
      </c>
      <c r="I205" t="s">
        <v>22</v>
      </c>
      <c r="J205">
        <v>4.0999999999999996</v>
      </c>
      <c r="K205" s="3">
        <f t="shared" si="6"/>
        <v>66.56</v>
      </c>
      <c r="L205" s="2">
        <f t="shared" si="7"/>
        <v>13.312000000000001</v>
      </c>
      <c r="M205" t="s">
        <v>70</v>
      </c>
      <c r="N205" t="s">
        <v>67</v>
      </c>
      <c r="O205" t="s">
        <v>33</v>
      </c>
    </row>
    <row r="206" spans="1:15" x14ac:dyDescent="0.25">
      <c r="A206" s="1">
        <v>45311</v>
      </c>
      <c r="B206" t="s">
        <v>11</v>
      </c>
      <c r="C206" t="s">
        <v>17</v>
      </c>
      <c r="D206" t="s">
        <v>24</v>
      </c>
      <c r="E206" t="s">
        <v>25</v>
      </c>
      <c r="F206" s="2">
        <v>37.479999999999997</v>
      </c>
      <c r="G206" s="2">
        <v>120</v>
      </c>
      <c r="H206">
        <v>3</v>
      </c>
      <c r="I206" t="s">
        <v>15</v>
      </c>
      <c r="J206">
        <v>7.7</v>
      </c>
      <c r="K206" s="3">
        <f t="shared" si="6"/>
        <v>82.52000000000001</v>
      </c>
      <c r="L206" s="2">
        <f t="shared" si="7"/>
        <v>16.504000000000001</v>
      </c>
      <c r="M206" t="s">
        <v>39</v>
      </c>
      <c r="N206" t="s">
        <v>40</v>
      </c>
      <c r="O206" t="s">
        <v>34</v>
      </c>
    </row>
    <row r="207" spans="1:15" x14ac:dyDescent="0.25">
      <c r="A207" s="1">
        <v>45311</v>
      </c>
      <c r="B207" t="s">
        <v>16</v>
      </c>
      <c r="C207" t="s">
        <v>17</v>
      </c>
      <c r="D207" t="s">
        <v>24</v>
      </c>
      <c r="E207" t="s">
        <v>23</v>
      </c>
      <c r="F207" s="2">
        <v>15.62</v>
      </c>
      <c r="G207" s="2">
        <v>120</v>
      </c>
      <c r="H207">
        <v>8</v>
      </c>
      <c r="I207" t="s">
        <v>22</v>
      </c>
      <c r="J207">
        <v>9.1</v>
      </c>
      <c r="K207" s="3">
        <f t="shared" si="6"/>
        <v>104.38</v>
      </c>
      <c r="L207" s="2">
        <f t="shared" si="7"/>
        <v>20.876000000000001</v>
      </c>
      <c r="M207" t="s">
        <v>41</v>
      </c>
      <c r="N207" t="s">
        <v>42</v>
      </c>
      <c r="O207" t="s">
        <v>35</v>
      </c>
    </row>
    <row r="208" spans="1:15" x14ac:dyDescent="0.25">
      <c r="A208" s="1">
        <v>45311</v>
      </c>
      <c r="B208" t="s">
        <v>21</v>
      </c>
      <c r="C208" t="s">
        <v>12</v>
      </c>
      <c r="D208" t="s">
        <v>13</v>
      </c>
      <c r="E208" t="s">
        <v>25</v>
      </c>
      <c r="F208" s="2">
        <v>72.349999999999994</v>
      </c>
      <c r="G208" s="2">
        <v>120</v>
      </c>
      <c r="H208">
        <v>10</v>
      </c>
      <c r="I208" t="s">
        <v>19</v>
      </c>
      <c r="J208">
        <v>5.4</v>
      </c>
      <c r="K208" s="3">
        <f t="shared" si="6"/>
        <v>47.650000000000006</v>
      </c>
      <c r="L208" s="2">
        <f t="shared" si="7"/>
        <v>9.5300000000000011</v>
      </c>
      <c r="M208" t="s">
        <v>43</v>
      </c>
      <c r="N208" t="s">
        <v>44</v>
      </c>
      <c r="O208" t="s">
        <v>36</v>
      </c>
    </row>
    <row r="209" spans="1:15" x14ac:dyDescent="0.25">
      <c r="A209" s="1">
        <v>45311</v>
      </c>
      <c r="B209" t="s">
        <v>16</v>
      </c>
      <c r="C209" t="s">
        <v>17</v>
      </c>
      <c r="D209" t="s">
        <v>24</v>
      </c>
      <c r="E209" t="s">
        <v>26</v>
      </c>
      <c r="F209" s="2">
        <v>64.08</v>
      </c>
      <c r="G209" s="2">
        <v>120</v>
      </c>
      <c r="H209">
        <v>7</v>
      </c>
      <c r="I209" t="s">
        <v>22</v>
      </c>
      <c r="J209">
        <v>7.6</v>
      </c>
      <c r="K209" s="3">
        <f t="shared" si="6"/>
        <v>55.92</v>
      </c>
      <c r="L209" s="2">
        <f t="shared" si="7"/>
        <v>11.184000000000001</v>
      </c>
      <c r="M209" t="s">
        <v>45</v>
      </c>
      <c r="N209" t="s">
        <v>46</v>
      </c>
      <c r="O209" t="s">
        <v>37</v>
      </c>
    </row>
    <row r="210" spans="1:15" x14ac:dyDescent="0.25">
      <c r="A210" s="1">
        <v>45311</v>
      </c>
      <c r="B210" t="s">
        <v>21</v>
      </c>
      <c r="C210" t="s">
        <v>12</v>
      </c>
      <c r="D210" t="s">
        <v>13</v>
      </c>
      <c r="E210" t="s">
        <v>23</v>
      </c>
      <c r="F210" s="2">
        <v>63.88</v>
      </c>
      <c r="G210" s="2">
        <v>120</v>
      </c>
      <c r="H210">
        <v>8</v>
      </c>
      <c r="I210" t="s">
        <v>22</v>
      </c>
      <c r="J210">
        <v>9.9</v>
      </c>
      <c r="K210" s="3">
        <f t="shared" si="6"/>
        <v>56.12</v>
      </c>
      <c r="L210" s="2">
        <f t="shared" si="7"/>
        <v>11.224</v>
      </c>
      <c r="M210" t="s">
        <v>47</v>
      </c>
      <c r="N210" t="s">
        <v>48</v>
      </c>
      <c r="O210" t="s">
        <v>38</v>
      </c>
    </row>
    <row r="211" spans="1:15" x14ac:dyDescent="0.25">
      <c r="A211" s="1">
        <v>45311</v>
      </c>
      <c r="B211" t="s">
        <v>16</v>
      </c>
      <c r="C211" t="s">
        <v>12</v>
      </c>
      <c r="D211" t="s">
        <v>13</v>
      </c>
      <c r="E211" t="s">
        <v>25</v>
      </c>
      <c r="F211" s="2">
        <v>89.25</v>
      </c>
      <c r="G211" s="2">
        <v>120</v>
      </c>
      <c r="H211">
        <v>8</v>
      </c>
      <c r="I211" t="s">
        <v>19</v>
      </c>
      <c r="J211">
        <v>4.7</v>
      </c>
      <c r="K211" s="3">
        <f t="shared" si="6"/>
        <v>30.75</v>
      </c>
      <c r="L211" s="2">
        <f t="shared" si="7"/>
        <v>6.15</v>
      </c>
      <c r="M211" t="s">
        <v>49</v>
      </c>
      <c r="N211" t="s">
        <v>50</v>
      </c>
      <c r="O211" t="s">
        <v>28</v>
      </c>
    </row>
    <row r="212" spans="1:15" x14ac:dyDescent="0.25">
      <c r="A212" s="1">
        <v>45312</v>
      </c>
      <c r="B212" t="s">
        <v>21</v>
      </c>
      <c r="C212" t="s">
        <v>17</v>
      </c>
      <c r="D212" t="s">
        <v>24</v>
      </c>
      <c r="E212" t="s">
        <v>25</v>
      </c>
      <c r="F212" s="2">
        <v>73.22</v>
      </c>
      <c r="G212" s="2">
        <v>120</v>
      </c>
      <c r="H212">
        <v>6</v>
      </c>
      <c r="I212" t="s">
        <v>19</v>
      </c>
      <c r="J212">
        <v>7.2</v>
      </c>
      <c r="K212" s="3">
        <f t="shared" si="6"/>
        <v>46.78</v>
      </c>
      <c r="L212" s="2">
        <f t="shared" si="7"/>
        <v>9.3559999999999999</v>
      </c>
      <c r="M212" t="s">
        <v>51</v>
      </c>
      <c r="N212" t="s">
        <v>52</v>
      </c>
      <c r="O212" t="s">
        <v>29</v>
      </c>
    </row>
    <row r="213" spans="1:15" x14ac:dyDescent="0.25">
      <c r="A213" s="1">
        <v>45312</v>
      </c>
      <c r="B213" t="s">
        <v>16</v>
      </c>
      <c r="C213" t="s">
        <v>17</v>
      </c>
      <c r="D213" t="s">
        <v>13</v>
      </c>
      <c r="E213" t="s">
        <v>26</v>
      </c>
      <c r="F213" s="2">
        <v>99.19</v>
      </c>
      <c r="G213" s="2">
        <v>120</v>
      </c>
      <c r="H213">
        <v>6</v>
      </c>
      <c r="I213" t="s">
        <v>15</v>
      </c>
      <c r="J213">
        <v>5.5</v>
      </c>
      <c r="K213" s="3">
        <f t="shared" si="6"/>
        <v>20.810000000000002</v>
      </c>
      <c r="L213" s="2">
        <f t="shared" si="7"/>
        <v>4.1620000000000008</v>
      </c>
      <c r="M213" t="s">
        <v>53</v>
      </c>
      <c r="N213" t="s">
        <v>54</v>
      </c>
      <c r="O213" t="s">
        <v>30</v>
      </c>
    </row>
    <row r="214" spans="1:15" x14ac:dyDescent="0.25">
      <c r="A214" s="1">
        <v>45312</v>
      </c>
      <c r="B214" t="s">
        <v>21</v>
      </c>
      <c r="C214" t="s">
        <v>12</v>
      </c>
      <c r="D214" t="s">
        <v>24</v>
      </c>
      <c r="E214" t="s">
        <v>26</v>
      </c>
      <c r="F214" s="2">
        <v>53.17</v>
      </c>
      <c r="G214" s="2">
        <v>120</v>
      </c>
      <c r="H214">
        <v>7</v>
      </c>
      <c r="I214" t="s">
        <v>19</v>
      </c>
      <c r="J214">
        <v>8.9</v>
      </c>
      <c r="K214" s="3">
        <f t="shared" si="6"/>
        <v>66.83</v>
      </c>
      <c r="L214" s="2">
        <f t="shared" si="7"/>
        <v>13.366</v>
      </c>
      <c r="M214" t="s">
        <v>55</v>
      </c>
      <c r="N214" t="s">
        <v>56</v>
      </c>
      <c r="O214" t="s">
        <v>31</v>
      </c>
    </row>
    <row r="215" spans="1:15" x14ac:dyDescent="0.25">
      <c r="A215" s="1">
        <v>45312</v>
      </c>
      <c r="B215" t="s">
        <v>11</v>
      </c>
      <c r="C215" t="s">
        <v>12</v>
      </c>
      <c r="D215" t="s">
        <v>13</v>
      </c>
      <c r="E215" t="s">
        <v>20</v>
      </c>
      <c r="F215" s="2">
        <v>98.13</v>
      </c>
      <c r="G215" s="2">
        <v>120</v>
      </c>
      <c r="H215">
        <v>1</v>
      </c>
      <c r="I215" t="s">
        <v>19</v>
      </c>
      <c r="J215">
        <v>8.9</v>
      </c>
      <c r="K215" s="3">
        <f t="shared" si="6"/>
        <v>21.870000000000005</v>
      </c>
      <c r="L215" s="2">
        <f t="shared" si="7"/>
        <v>4.3740000000000014</v>
      </c>
      <c r="M215" t="s">
        <v>57</v>
      </c>
      <c r="N215" t="s">
        <v>58</v>
      </c>
      <c r="O215" t="s">
        <v>31</v>
      </c>
    </row>
    <row r="216" spans="1:15" x14ac:dyDescent="0.25">
      <c r="A216" s="1">
        <v>45312</v>
      </c>
      <c r="B216" t="s">
        <v>21</v>
      </c>
      <c r="C216" t="s">
        <v>12</v>
      </c>
      <c r="D216" t="s">
        <v>13</v>
      </c>
      <c r="E216" t="s">
        <v>14</v>
      </c>
      <c r="F216" s="2">
        <v>36.36</v>
      </c>
      <c r="G216" s="2">
        <v>120</v>
      </c>
      <c r="H216">
        <v>2</v>
      </c>
      <c r="I216" t="s">
        <v>19</v>
      </c>
      <c r="J216">
        <v>7.1</v>
      </c>
      <c r="K216" s="3">
        <f t="shared" si="6"/>
        <v>83.64</v>
      </c>
      <c r="L216" s="2">
        <f t="shared" si="7"/>
        <v>16.728000000000002</v>
      </c>
      <c r="M216" t="s">
        <v>59</v>
      </c>
      <c r="N216" t="s">
        <v>60</v>
      </c>
      <c r="O216" t="s">
        <v>31</v>
      </c>
    </row>
    <row r="217" spans="1:15" x14ac:dyDescent="0.25">
      <c r="A217" s="1">
        <v>45312</v>
      </c>
      <c r="B217" t="s">
        <v>21</v>
      </c>
      <c r="C217" t="s">
        <v>17</v>
      </c>
      <c r="D217" t="s">
        <v>13</v>
      </c>
      <c r="E217" t="s">
        <v>25</v>
      </c>
      <c r="F217" s="2">
        <v>77.95</v>
      </c>
      <c r="G217" s="2">
        <v>120</v>
      </c>
      <c r="H217">
        <v>6</v>
      </c>
      <c r="I217" t="s">
        <v>22</v>
      </c>
      <c r="J217">
        <v>8</v>
      </c>
      <c r="K217" s="3">
        <f t="shared" si="6"/>
        <v>42.05</v>
      </c>
      <c r="L217" s="2">
        <f t="shared" si="7"/>
        <v>8.41</v>
      </c>
      <c r="M217" t="s">
        <v>59</v>
      </c>
      <c r="N217" t="s">
        <v>61</v>
      </c>
      <c r="O217" t="s">
        <v>28</v>
      </c>
    </row>
    <row r="218" spans="1:15" x14ac:dyDescent="0.25">
      <c r="A218" s="1">
        <v>45312</v>
      </c>
      <c r="B218" t="s">
        <v>16</v>
      </c>
      <c r="C218" t="s">
        <v>12</v>
      </c>
      <c r="D218" t="s">
        <v>24</v>
      </c>
      <c r="E218" t="s">
        <v>14</v>
      </c>
      <c r="F218" s="2">
        <v>68.98</v>
      </c>
      <c r="G218" s="2">
        <v>120</v>
      </c>
      <c r="H218">
        <v>1</v>
      </c>
      <c r="I218" t="s">
        <v>19</v>
      </c>
      <c r="J218">
        <v>4.8</v>
      </c>
      <c r="K218" s="3">
        <f t="shared" si="6"/>
        <v>51.019999999999996</v>
      </c>
      <c r="L218" s="2">
        <f t="shared" si="7"/>
        <v>10.204000000000001</v>
      </c>
      <c r="M218" t="s">
        <v>62</v>
      </c>
      <c r="N218" t="s">
        <v>63</v>
      </c>
      <c r="O218" t="s">
        <v>28</v>
      </c>
    </row>
    <row r="219" spans="1:15" x14ac:dyDescent="0.25">
      <c r="A219" s="1">
        <v>45312</v>
      </c>
      <c r="B219" t="s">
        <v>21</v>
      </c>
      <c r="C219" t="s">
        <v>17</v>
      </c>
      <c r="D219" t="s">
        <v>24</v>
      </c>
      <c r="E219" t="s">
        <v>14</v>
      </c>
      <c r="F219" s="2">
        <v>54.67</v>
      </c>
      <c r="G219" s="2">
        <v>120</v>
      </c>
      <c r="H219">
        <v>3</v>
      </c>
      <c r="I219" t="s">
        <v>15</v>
      </c>
      <c r="J219">
        <v>8.6</v>
      </c>
      <c r="K219" s="3">
        <f t="shared" si="6"/>
        <v>65.33</v>
      </c>
      <c r="L219" s="2">
        <f t="shared" si="7"/>
        <v>13.066000000000001</v>
      </c>
      <c r="M219" t="s">
        <v>64</v>
      </c>
      <c r="N219" t="s">
        <v>65</v>
      </c>
      <c r="O219" t="s">
        <v>31</v>
      </c>
    </row>
    <row r="220" spans="1:15" x14ac:dyDescent="0.25">
      <c r="A220" s="1">
        <v>45313</v>
      </c>
      <c r="B220" t="s">
        <v>16</v>
      </c>
      <c r="C220" t="s">
        <v>17</v>
      </c>
      <c r="D220" t="s">
        <v>13</v>
      </c>
      <c r="E220" t="s">
        <v>26</v>
      </c>
      <c r="F220" s="2">
        <v>20.38</v>
      </c>
      <c r="G220" s="2">
        <v>120</v>
      </c>
      <c r="H220">
        <v>5</v>
      </c>
      <c r="I220" t="s">
        <v>19</v>
      </c>
      <c r="J220">
        <v>6</v>
      </c>
      <c r="K220" s="3">
        <f t="shared" si="6"/>
        <v>99.62</v>
      </c>
      <c r="L220" s="2">
        <f t="shared" si="7"/>
        <v>19.924000000000003</v>
      </c>
      <c r="M220" t="s">
        <v>66</v>
      </c>
      <c r="N220" t="s">
        <v>67</v>
      </c>
      <c r="O220" t="s">
        <v>29</v>
      </c>
    </row>
    <row r="221" spans="1:15" x14ac:dyDescent="0.25">
      <c r="A221" s="1">
        <v>45313</v>
      </c>
      <c r="B221" t="s">
        <v>16</v>
      </c>
      <c r="C221" t="s">
        <v>12</v>
      </c>
      <c r="D221" t="s">
        <v>13</v>
      </c>
      <c r="E221" t="s">
        <v>26</v>
      </c>
      <c r="F221" s="2">
        <v>81.510000000000005</v>
      </c>
      <c r="G221" s="2">
        <v>120</v>
      </c>
      <c r="H221">
        <v>1</v>
      </c>
      <c r="I221" t="s">
        <v>22</v>
      </c>
      <c r="J221">
        <v>9.1999999999999993</v>
      </c>
      <c r="K221" s="3">
        <f t="shared" si="6"/>
        <v>38.489999999999995</v>
      </c>
      <c r="L221" s="2">
        <f t="shared" si="7"/>
        <v>7.6979999999999995</v>
      </c>
      <c r="M221" t="s">
        <v>68</v>
      </c>
      <c r="N221" t="s">
        <v>69</v>
      </c>
      <c r="O221" t="s">
        <v>32</v>
      </c>
    </row>
    <row r="222" spans="1:15" x14ac:dyDescent="0.25">
      <c r="A222" s="1">
        <v>45313</v>
      </c>
      <c r="B222" t="s">
        <v>16</v>
      </c>
      <c r="C222" t="s">
        <v>12</v>
      </c>
      <c r="D222" t="s">
        <v>24</v>
      </c>
      <c r="E222" t="s">
        <v>25</v>
      </c>
      <c r="F222" s="2">
        <v>39.39</v>
      </c>
      <c r="G222" s="2">
        <v>120</v>
      </c>
      <c r="H222">
        <v>5</v>
      </c>
      <c r="I222" t="s">
        <v>15</v>
      </c>
      <c r="J222">
        <v>8.6999999999999993</v>
      </c>
      <c r="K222" s="3">
        <f t="shared" si="6"/>
        <v>80.61</v>
      </c>
      <c r="L222" s="2">
        <f t="shared" si="7"/>
        <v>16.122</v>
      </c>
      <c r="M222" t="s">
        <v>70</v>
      </c>
      <c r="N222" t="s">
        <v>67</v>
      </c>
      <c r="O222" t="s">
        <v>31</v>
      </c>
    </row>
    <row r="223" spans="1:15" x14ac:dyDescent="0.25">
      <c r="A223" s="1">
        <v>45313</v>
      </c>
      <c r="B223" t="s">
        <v>11</v>
      </c>
      <c r="C223" t="s">
        <v>17</v>
      </c>
      <c r="D223" t="s">
        <v>13</v>
      </c>
      <c r="E223" t="s">
        <v>14</v>
      </c>
      <c r="F223" s="2">
        <v>28.86</v>
      </c>
      <c r="G223" s="2">
        <v>120</v>
      </c>
      <c r="H223">
        <v>5</v>
      </c>
      <c r="I223" t="s">
        <v>15</v>
      </c>
      <c r="J223">
        <v>8</v>
      </c>
      <c r="K223" s="3">
        <f t="shared" si="6"/>
        <v>91.14</v>
      </c>
      <c r="L223" s="2">
        <f t="shared" si="7"/>
        <v>18.228000000000002</v>
      </c>
      <c r="M223" t="s">
        <v>39</v>
      </c>
      <c r="N223" t="s">
        <v>40</v>
      </c>
      <c r="O223" t="s">
        <v>32</v>
      </c>
    </row>
    <row r="224" spans="1:15" x14ac:dyDescent="0.25">
      <c r="A224" s="1">
        <v>45313</v>
      </c>
      <c r="B224" t="s">
        <v>21</v>
      </c>
      <c r="C224" t="s">
        <v>17</v>
      </c>
      <c r="D224" t="s">
        <v>24</v>
      </c>
      <c r="E224" t="s">
        <v>25</v>
      </c>
      <c r="F224" s="2">
        <v>30.68</v>
      </c>
      <c r="G224" s="2">
        <v>120</v>
      </c>
      <c r="H224">
        <v>3</v>
      </c>
      <c r="I224" t="s">
        <v>22</v>
      </c>
      <c r="J224">
        <v>9.1</v>
      </c>
      <c r="K224" s="3">
        <f t="shared" si="6"/>
        <v>89.32</v>
      </c>
      <c r="L224" s="2">
        <f t="shared" si="7"/>
        <v>17.864000000000001</v>
      </c>
      <c r="M224" t="s">
        <v>41</v>
      </c>
      <c r="N224" t="s">
        <v>42</v>
      </c>
      <c r="O224" t="s">
        <v>33</v>
      </c>
    </row>
    <row r="225" spans="1:15" x14ac:dyDescent="0.25">
      <c r="A225" s="1">
        <v>45313</v>
      </c>
      <c r="B225" t="s">
        <v>11</v>
      </c>
      <c r="C225" t="s">
        <v>17</v>
      </c>
      <c r="D225" t="s">
        <v>13</v>
      </c>
      <c r="E225" t="s">
        <v>26</v>
      </c>
      <c r="F225" s="2">
        <v>55.81</v>
      </c>
      <c r="G225" s="2">
        <v>120</v>
      </c>
      <c r="H225">
        <v>6</v>
      </c>
      <c r="I225" t="s">
        <v>19</v>
      </c>
      <c r="J225">
        <v>9.9</v>
      </c>
      <c r="K225" s="3">
        <f t="shared" si="6"/>
        <v>64.19</v>
      </c>
      <c r="L225" s="2">
        <f t="shared" si="7"/>
        <v>12.838000000000001</v>
      </c>
      <c r="M225" t="s">
        <v>43</v>
      </c>
      <c r="N225" t="s">
        <v>44</v>
      </c>
      <c r="O225" t="s">
        <v>34</v>
      </c>
    </row>
    <row r="226" spans="1:15" x14ac:dyDescent="0.25">
      <c r="A226" s="1">
        <v>45313</v>
      </c>
      <c r="B226" t="s">
        <v>21</v>
      </c>
      <c r="C226" t="s">
        <v>17</v>
      </c>
      <c r="D226" t="s">
        <v>24</v>
      </c>
      <c r="E226" t="s">
        <v>25</v>
      </c>
      <c r="F226" s="2">
        <v>74.67</v>
      </c>
      <c r="G226" s="2">
        <v>120</v>
      </c>
      <c r="H226">
        <v>9</v>
      </c>
      <c r="I226" t="s">
        <v>22</v>
      </c>
      <c r="J226">
        <v>9.4</v>
      </c>
      <c r="K226" s="3">
        <f t="shared" si="6"/>
        <v>45.33</v>
      </c>
      <c r="L226" s="2">
        <f t="shared" si="7"/>
        <v>9.0660000000000007</v>
      </c>
      <c r="M226" t="s">
        <v>45</v>
      </c>
      <c r="N226" t="s">
        <v>46</v>
      </c>
      <c r="O226" t="s">
        <v>35</v>
      </c>
    </row>
    <row r="227" spans="1:15" x14ac:dyDescent="0.25">
      <c r="A227" s="1">
        <v>45314</v>
      </c>
      <c r="B227" t="s">
        <v>21</v>
      </c>
      <c r="C227" t="s">
        <v>12</v>
      </c>
      <c r="D227" t="s">
        <v>13</v>
      </c>
      <c r="E227" t="s">
        <v>26</v>
      </c>
      <c r="F227" s="2">
        <v>95.95</v>
      </c>
      <c r="G227" s="2">
        <v>120</v>
      </c>
      <c r="H227">
        <v>5</v>
      </c>
      <c r="I227" t="s">
        <v>22</v>
      </c>
      <c r="J227">
        <v>8.8000000000000007</v>
      </c>
      <c r="K227" s="3">
        <f t="shared" si="6"/>
        <v>24.049999999999997</v>
      </c>
      <c r="L227" s="2">
        <f t="shared" si="7"/>
        <v>4.8099999999999996</v>
      </c>
      <c r="M227" t="s">
        <v>47</v>
      </c>
      <c r="N227" t="s">
        <v>48</v>
      </c>
      <c r="O227" t="s">
        <v>36</v>
      </c>
    </row>
    <row r="228" spans="1:15" x14ac:dyDescent="0.25">
      <c r="A228" s="1">
        <v>45314</v>
      </c>
      <c r="B228" t="s">
        <v>16</v>
      </c>
      <c r="C228" t="s">
        <v>17</v>
      </c>
      <c r="D228" t="s">
        <v>13</v>
      </c>
      <c r="E228" t="s">
        <v>18</v>
      </c>
      <c r="F228" s="2">
        <v>84.05</v>
      </c>
      <c r="G228" s="2">
        <v>120</v>
      </c>
      <c r="H228">
        <v>3</v>
      </c>
      <c r="I228" t="s">
        <v>19</v>
      </c>
      <c r="J228">
        <v>9.8000000000000007</v>
      </c>
      <c r="K228" s="3">
        <f t="shared" si="6"/>
        <v>35.950000000000003</v>
      </c>
      <c r="L228" s="2">
        <f t="shared" si="7"/>
        <v>7.1900000000000013</v>
      </c>
      <c r="M228" t="s">
        <v>49</v>
      </c>
      <c r="N228" t="s">
        <v>50</v>
      </c>
      <c r="O228" t="s">
        <v>37</v>
      </c>
    </row>
    <row r="229" spans="1:15" x14ac:dyDescent="0.25">
      <c r="A229" s="1">
        <v>45314</v>
      </c>
      <c r="B229" t="s">
        <v>21</v>
      </c>
      <c r="C229" t="s">
        <v>12</v>
      </c>
      <c r="D229" t="s">
        <v>13</v>
      </c>
      <c r="E229" t="s">
        <v>14</v>
      </c>
      <c r="F229" s="2">
        <v>47.63</v>
      </c>
      <c r="G229" s="2">
        <v>120</v>
      </c>
      <c r="H229">
        <v>9</v>
      </c>
      <c r="I229" t="s">
        <v>19</v>
      </c>
      <c r="J229">
        <v>5</v>
      </c>
      <c r="K229" s="3">
        <f t="shared" si="6"/>
        <v>72.37</v>
      </c>
      <c r="L229" s="2">
        <f t="shared" si="7"/>
        <v>14.474000000000002</v>
      </c>
      <c r="M229" t="s">
        <v>51</v>
      </c>
      <c r="N229" t="s">
        <v>52</v>
      </c>
      <c r="O229" t="s">
        <v>28</v>
      </c>
    </row>
    <row r="230" spans="1:15" x14ac:dyDescent="0.25">
      <c r="A230" s="1">
        <v>45314</v>
      </c>
      <c r="B230" t="s">
        <v>16</v>
      </c>
      <c r="C230" t="s">
        <v>12</v>
      </c>
      <c r="D230" t="s">
        <v>13</v>
      </c>
      <c r="E230" t="s">
        <v>20</v>
      </c>
      <c r="F230" s="2">
        <v>89.8</v>
      </c>
      <c r="G230" s="2">
        <v>120</v>
      </c>
      <c r="H230">
        <v>10</v>
      </c>
      <c r="I230" t="s">
        <v>15</v>
      </c>
      <c r="J230">
        <v>5.4</v>
      </c>
      <c r="K230" s="3">
        <f t="shared" si="6"/>
        <v>30.200000000000003</v>
      </c>
      <c r="L230" s="2">
        <f t="shared" si="7"/>
        <v>6.0400000000000009</v>
      </c>
      <c r="M230" t="s">
        <v>53</v>
      </c>
      <c r="N230" t="s">
        <v>54</v>
      </c>
      <c r="O230" t="s">
        <v>29</v>
      </c>
    </row>
    <row r="231" spans="1:15" x14ac:dyDescent="0.25">
      <c r="A231" s="1">
        <v>45314</v>
      </c>
      <c r="B231" t="s">
        <v>21</v>
      </c>
      <c r="C231" t="s">
        <v>17</v>
      </c>
      <c r="D231" t="s">
        <v>13</v>
      </c>
      <c r="E231" t="s">
        <v>18</v>
      </c>
      <c r="F231" s="2">
        <v>66.06</v>
      </c>
      <c r="G231" s="2">
        <v>120</v>
      </c>
      <c r="H231">
        <v>6</v>
      </c>
      <c r="I231" t="s">
        <v>19</v>
      </c>
      <c r="J231">
        <v>7.3</v>
      </c>
      <c r="K231" s="3">
        <f t="shared" si="6"/>
        <v>53.94</v>
      </c>
      <c r="L231" s="2">
        <f t="shared" si="7"/>
        <v>10.788</v>
      </c>
      <c r="M231" t="s">
        <v>55</v>
      </c>
      <c r="N231" t="s">
        <v>56</v>
      </c>
      <c r="O231" t="s">
        <v>30</v>
      </c>
    </row>
    <row r="232" spans="1:15" x14ac:dyDescent="0.25">
      <c r="A232" s="1">
        <v>45314</v>
      </c>
      <c r="B232" t="s">
        <v>16</v>
      </c>
      <c r="C232" t="s">
        <v>12</v>
      </c>
      <c r="D232" t="s">
        <v>13</v>
      </c>
      <c r="E232" t="s">
        <v>25</v>
      </c>
      <c r="F232" s="2">
        <v>83.77</v>
      </c>
      <c r="G232" s="2">
        <v>120</v>
      </c>
      <c r="H232">
        <v>6</v>
      </c>
      <c r="I232" t="s">
        <v>22</v>
      </c>
      <c r="J232">
        <v>5.4</v>
      </c>
      <c r="K232" s="3">
        <f t="shared" si="6"/>
        <v>36.230000000000004</v>
      </c>
      <c r="L232" s="2">
        <f t="shared" si="7"/>
        <v>7.2460000000000013</v>
      </c>
      <c r="M232" t="s">
        <v>57</v>
      </c>
      <c r="N232" t="s">
        <v>58</v>
      </c>
      <c r="O232" t="s">
        <v>31</v>
      </c>
    </row>
    <row r="233" spans="1:15" x14ac:dyDescent="0.25">
      <c r="A233" s="1">
        <v>45314</v>
      </c>
      <c r="B233" t="s">
        <v>16</v>
      </c>
      <c r="C233" t="s">
        <v>12</v>
      </c>
      <c r="D233" t="s">
        <v>13</v>
      </c>
      <c r="E233" t="s">
        <v>25</v>
      </c>
      <c r="F233" s="2">
        <v>47.38</v>
      </c>
      <c r="G233" s="2">
        <v>120</v>
      </c>
      <c r="H233">
        <v>4</v>
      </c>
      <c r="I233" t="s">
        <v>19</v>
      </c>
      <c r="J233">
        <v>7.1</v>
      </c>
      <c r="K233" s="3">
        <f t="shared" si="6"/>
        <v>72.62</v>
      </c>
      <c r="L233" s="2">
        <f t="shared" si="7"/>
        <v>14.524000000000001</v>
      </c>
      <c r="M233" t="s">
        <v>59</v>
      </c>
      <c r="N233" t="s">
        <v>60</v>
      </c>
      <c r="O233" t="s">
        <v>31</v>
      </c>
    </row>
    <row r="234" spans="1:15" x14ac:dyDescent="0.25">
      <c r="A234" s="1">
        <v>45314</v>
      </c>
      <c r="B234" t="s">
        <v>21</v>
      </c>
      <c r="C234" t="s">
        <v>17</v>
      </c>
      <c r="D234" t="s">
        <v>24</v>
      </c>
      <c r="E234" t="s">
        <v>26</v>
      </c>
      <c r="F234" s="2">
        <v>58.15</v>
      </c>
      <c r="G234" s="2">
        <v>120</v>
      </c>
      <c r="H234">
        <v>4</v>
      </c>
      <c r="I234" t="s">
        <v>19</v>
      </c>
      <c r="J234">
        <v>8.4</v>
      </c>
      <c r="K234" s="3">
        <f t="shared" si="6"/>
        <v>61.85</v>
      </c>
      <c r="L234" s="2">
        <f t="shared" si="7"/>
        <v>12.370000000000001</v>
      </c>
      <c r="M234" t="s">
        <v>59</v>
      </c>
      <c r="N234" t="s">
        <v>61</v>
      </c>
      <c r="O234" t="s">
        <v>31</v>
      </c>
    </row>
    <row r="235" spans="1:15" x14ac:dyDescent="0.25">
      <c r="A235" s="1">
        <v>45314</v>
      </c>
      <c r="B235" t="s">
        <v>16</v>
      </c>
      <c r="C235" t="s">
        <v>17</v>
      </c>
      <c r="D235" t="s">
        <v>24</v>
      </c>
      <c r="E235" t="s">
        <v>26</v>
      </c>
      <c r="F235" s="2">
        <v>99.96</v>
      </c>
      <c r="G235" s="2">
        <v>120</v>
      </c>
      <c r="H235">
        <v>7</v>
      </c>
      <c r="I235" t="s">
        <v>19</v>
      </c>
      <c r="J235">
        <v>6.1</v>
      </c>
      <c r="K235" s="3">
        <f t="shared" si="6"/>
        <v>20.040000000000006</v>
      </c>
      <c r="L235" s="2">
        <f t="shared" si="7"/>
        <v>4.0080000000000018</v>
      </c>
      <c r="M235" t="s">
        <v>62</v>
      </c>
      <c r="N235" t="s">
        <v>63</v>
      </c>
      <c r="O235" t="s">
        <v>28</v>
      </c>
    </row>
    <row r="236" spans="1:15" x14ac:dyDescent="0.25">
      <c r="A236" s="1">
        <v>45314</v>
      </c>
      <c r="B236" t="s">
        <v>21</v>
      </c>
      <c r="C236" t="s">
        <v>12</v>
      </c>
      <c r="D236" t="s">
        <v>24</v>
      </c>
      <c r="E236" t="s">
        <v>23</v>
      </c>
      <c r="F236" s="2">
        <v>17.940000000000001</v>
      </c>
      <c r="G236" s="2">
        <v>120</v>
      </c>
      <c r="H236">
        <v>5</v>
      </c>
      <c r="I236" t="s">
        <v>22</v>
      </c>
      <c r="J236">
        <v>6.8</v>
      </c>
      <c r="K236" s="3">
        <f t="shared" si="6"/>
        <v>102.06</v>
      </c>
      <c r="L236" s="2">
        <f t="shared" si="7"/>
        <v>20.412000000000003</v>
      </c>
      <c r="M236" t="s">
        <v>64</v>
      </c>
      <c r="N236" t="s">
        <v>65</v>
      </c>
      <c r="O236" t="s">
        <v>28</v>
      </c>
    </row>
    <row r="237" spans="1:15" x14ac:dyDescent="0.25">
      <c r="A237" s="1">
        <v>45314</v>
      </c>
      <c r="B237" t="s">
        <v>16</v>
      </c>
      <c r="C237" t="s">
        <v>12</v>
      </c>
      <c r="D237" t="s">
        <v>24</v>
      </c>
      <c r="E237" t="s">
        <v>14</v>
      </c>
      <c r="F237" s="2">
        <v>38.47</v>
      </c>
      <c r="G237" s="2">
        <v>120</v>
      </c>
      <c r="H237">
        <v>8</v>
      </c>
      <c r="I237" t="s">
        <v>19</v>
      </c>
      <c r="J237">
        <v>7.7</v>
      </c>
      <c r="K237" s="3">
        <f t="shared" si="6"/>
        <v>81.53</v>
      </c>
      <c r="L237" s="2">
        <f t="shared" si="7"/>
        <v>16.306000000000001</v>
      </c>
      <c r="M237" t="s">
        <v>66</v>
      </c>
      <c r="N237" t="s">
        <v>67</v>
      </c>
      <c r="O237" t="s">
        <v>31</v>
      </c>
    </row>
    <row r="238" spans="1:15" x14ac:dyDescent="0.25">
      <c r="A238" s="1">
        <v>45314</v>
      </c>
      <c r="B238" t="s">
        <v>16</v>
      </c>
      <c r="C238" t="s">
        <v>17</v>
      </c>
      <c r="D238" t="s">
        <v>13</v>
      </c>
      <c r="E238" t="s">
        <v>23</v>
      </c>
      <c r="F238" s="2">
        <v>45.44</v>
      </c>
      <c r="G238" s="2">
        <v>120</v>
      </c>
      <c r="H238">
        <v>7</v>
      </c>
      <c r="I238" t="s">
        <v>19</v>
      </c>
      <c r="J238">
        <v>9.1999999999999993</v>
      </c>
      <c r="K238" s="3">
        <f t="shared" si="6"/>
        <v>74.56</v>
      </c>
      <c r="L238" s="2">
        <f t="shared" si="7"/>
        <v>14.912000000000001</v>
      </c>
      <c r="M238" t="s">
        <v>68</v>
      </c>
      <c r="N238" t="s">
        <v>69</v>
      </c>
      <c r="O238" t="s">
        <v>29</v>
      </c>
    </row>
    <row r="239" spans="1:15" x14ac:dyDescent="0.25">
      <c r="A239" s="1">
        <v>45314</v>
      </c>
      <c r="B239" t="s">
        <v>16</v>
      </c>
      <c r="C239" t="s">
        <v>17</v>
      </c>
      <c r="D239" t="s">
        <v>13</v>
      </c>
      <c r="E239" t="s">
        <v>26</v>
      </c>
      <c r="F239" s="2">
        <v>10.99</v>
      </c>
      <c r="G239" s="2">
        <v>120</v>
      </c>
      <c r="H239">
        <v>5</v>
      </c>
      <c r="I239" t="s">
        <v>15</v>
      </c>
      <c r="J239">
        <v>9.3000000000000007</v>
      </c>
      <c r="K239" s="3">
        <f t="shared" si="6"/>
        <v>109.01</v>
      </c>
      <c r="L239" s="2">
        <f t="shared" si="7"/>
        <v>21.802000000000003</v>
      </c>
      <c r="M239" t="s">
        <v>70</v>
      </c>
      <c r="N239" t="s">
        <v>67</v>
      </c>
      <c r="O239" t="s">
        <v>32</v>
      </c>
    </row>
    <row r="240" spans="1:15" x14ac:dyDescent="0.25">
      <c r="A240" s="1">
        <v>45314</v>
      </c>
      <c r="B240" t="s">
        <v>21</v>
      </c>
      <c r="C240" t="s">
        <v>17</v>
      </c>
      <c r="D240" t="s">
        <v>24</v>
      </c>
      <c r="E240" t="s">
        <v>23</v>
      </c>
      <c r="F240" s="2">
        <v>30.61</v>
      </c>
      <c r="G240" s="2">
        <v>120</v>
      </c>
      <c r="H240">
        <v>1</v>
      </c>
      <c r="I240" t="s">
        <v>22</v>
      </c>
      <c r="J240">
        <v>5.2</v>
      </c>
      <c r="K240" s="3">
        <f t="shared" si="6"/>
        <v>89.39</v>
      </c>
      <c r="L240" s="2">
        <f t="shared" si="7"/>
        <v>17.878</v>
      </c>
      <c r="M240" t="s">
        <v>39</v>
      </c>
      <c r="N240" t="s">
        <v>40</v>
      </c>
      <c r="O240" t="s">
        <v>31</v>
      </c>
    </row>
    <row r="241" spans="1:15" x14ac:dyDescent="0.25">
      <c r="A241" s="1">
        <v>45314</v>
      </c>
      <c r="B241" t="s">
        <v>16</v>
      </c>
      <c r="C241" t="s">
        <v>17</v>
      </c>
      <c r="D241" t="s">
        <v>24</v>
      </c>
      <c r="E241" t="s">
        <v>18</v>
      </c>
      <c r="F241" s="2">
        <v>83.08</v>
      </c>
      <c r="G241" s="2">
        <v>120</v>
      </c>
      <c r="H241">
        <v>1</v>
      </c>
      <c r="I241" t="s">
        <v>22</v>
      </c>
      <c r="J241">
        <v>6.4</v>
      </c>
      <c r="K241" s="3">
        <f t="shared" si="6"/>
        <v>36.92</v>
      </c>
      <c r="L241" s="2">
        <f t="shared" si="7"/>
        <v>7.3840000000000003</v>
      </c>
      <c r="M241" t="s">
        <v>41</v>
      </c>
      <c r="N241" t="s">
        <v>42</v>
      </c>
      <c r="O241" t="s">
        <v>32</v>
      </c>
    </row>
    <row r="242" spans="1:15" x14ac:dyDescent="0.25">
      <c r="A242" s="1">
        <v>45314</v>
      </c>
      <c r="B242" t="s">
        <v>16</v>
      </c>
      <c r="C242" t="s">
        <v>17</v>
      </c>
      <c r="D242" t="s">
        <v>24</v>
      </c>
      <c r="E242" t="s">
        <v>14</v>
      </c>
      <c r="F242" s="2">
        <v>19.25</v>
      </c>
      <c r="G242" s="2">
        <v>120</v>
      </c>
      <c r="H242">
        <v>8</v>
      </c>
      <c r="I242" t="s">
        <v>22</v>
      </c>
      <c r="J242">
        <v>6.6</v>
      </c>
      <c r="K242" s="3">
        <f t="shared" si="6"/>
        <v>100.75</v>
      </c>
      <c r="L242" s="2">
        <f t="shared" si="7"/>
        <v>20.150000000000002</v>
      </c>
      <c r="M242" t="s">
        <v>43</v>
      </c>
      <c r="N242" t="s">
        <v>44</v>
      </c>
      <c r="O242" t="s">
        <v>33</v>
      </c>
    </row>
    <row r="243" spans="1:15" x14ac:dyDescent="0.25">
      <c r="A243" s="1">
        <v>45314</v>
      </c>
      <c r="B243" t="s">
        <v>21</v>
      </c>
      <c r="C243" t="s">
        <v>12</v>
      </c>
      <c r="D243" t="s">
        <v>24</v>
      </c>
      <c r="E243" t="s">
        <v>14</v>
      </c>
      <c r="F243" s="2">
        <v>98.53</v>
      </c>
      <c r="G243" s="2">
        <v>120</v>
      </c>
      <c r="H243">
        <v>6</v>
      </c>
      <c r="I243" t="s">
        <v>15</v>
      </c>
      <c r="J243">
        <v>4</v>
      </c>
      <c r="K243" s="3">
        <f t="shared" si="6"/>
        <v>21.47</v>
      </c>
      <c r="L243" s="2">
        <f t="shared" si="7"/>
        <v>4.2939999999999996</v>
      </c>
      <c r="M243" t="s">
        <v>45</v>
      </c>
      <c r="N243" t="s">
        <v>46</v>
      </c>
      <c r="O243" t="s">
        <v>34</v>
      </c>
    </row>
    <row r="244" spans="1:15" x14ac:dyDescent="0.25">
      <c r="A244" s="1">
        <v>45315</v>
      </c>
      <c r="B244" t="s">
        <v>16</v>
      </c>
      <c r="C244" t="s">
        <v>12</v>
      </c>
      <c r="D244" t="s">
        <v>24</v>
      </c>
      <c r="E244" t="s">
        <v>25</v>
      </c>
      <c r="F244" s="2">
        <v>85.72</v>
      </c>
      <c r="G244" s="2">
        <v>120</v>
      </c>
      <c r="H244">
        <v>3</v>
      </c>
      <c r="I244" t="s">
        <v>22</v>
      </c>
      <c r="J244">
        <v>5.0999999999999996</v>
      </c>
      <c r="K244" s="3">
        <f t="shared" si="6"/>
        <v>34.28</v>
      </c>
      <c r="L244" s="2">
        <f t="shared" si="7"/>
        <v>6.8560000000000008</v>
      </c>
      <c r="M244" t="s">
        <v>47</v>
      </c>
      <c r="N244" t="s">
        <v>48</v>
      </c>
      <c r="O244" t="s">
        <v>35</v>
      </c>
    </row>
    <row r="245" spans="1:15" x14ac:dyDescent="0.25">
      <c r="A245" s="1">
        <v>45315</v>
      </c>
      <c r="B245" t="s">
        <v>21</v>
      </c>
      <c r="C245" t="s">
        <v>12</v>
      </c>
      <c r="D245" t="s">
        <v>24</v>
      </c>
      <c r="E245" t="s">
        <v>23</v>
      </c>
      <c r="F245" s="2">
        <v>86.68</v>
      </c>
      <c r="G245" s="2">
        <v>120</v>
      </c>
      <c r="H245">
        <v>8</v>
      </c>
      <c r="I245" t="s">
        <v>15</v>
      </c>
      <c r="J245">
        <v>7.2</v>
      </c>
      <c r="K245" s="3">
        <f t="shared" si="6"/>
        <v>33.319999999999993</v>
      </c>
      <c r="L245" s="2">
        <f t="shared" si="7"/>
        <v>6.6639999999999988</v>
      </c>
      <c r="M245" t="s">
        <v>49</v>
      </c>
      <c r="N245" t="s">
        <v>50</v>
      </c>
      <c r="O245" t="s">
        <v>36</v>
      </c>
    </row>
    <row r="246" spans="1:15" x14ac:dyDescent="0.25">
      <c r="A246" s="1">
        <v>45315</v>
      </c>
      <c r="B246" t="s">
        <v>21</v>
      </c>
      <c r="C246" t="s">
        <v>12</v>
      </c>
      <c r="D246" t="s">
        <v>13</v>
      </c>
      <c r="E246" t="s">
        <v>18</v>
      </c>
      <c r="F246" s="2">
        <v>48.62</v>
      </c>
      <c r="G246" s="2">
        <v>120</v>
      </c>
      <c r="H246">
        <v>8</v>
      </c>
      <c r="I246" t="s">
        <v>19</v>
      </c>
      <c r="J246">
        <v>5</v>
      </c>
      <c r="K246" s="3">
        <f t="shared" si="6"/>
        <v>71.38</v>
      </c>
      <c r="L246" s="2">
        <f t="shared" si="7"/>
        <v>14.276</v>
      </c>
      <c r="M246" t="s">
        <v>51</v>
      </c>
      <c r="N246" t="s">
        <v>52</v>
      </c>
      <c r="O246" t="s">
        <v>37</v>
      </c>
    </row>
    <row r="247" spans="1:15" x14ac:dyDescent="0.25">
      <c r="A247" s="1">
        <v>45315</v>
      </c>
      <c r="B247" t="s">
        <v>16</v>
      </c>
      <c r="C247" t="s">
        <v>12</v>
      </c>
      <c r="D247" t="s">
        <v>13</v>
      </c>
      <c r="E247" t="s">
        <v>25</v>
      </c>
      <c r="F247" s="2">
        <v>60.87</v>
      </c>
      <c r="G247" s="2">
        <v>120</v>
      </c>
      <c r="H247">
        <v>1</v>
      </c>
      <c r="I247" t="s">
        <v>19</v>
      </c>
      <c r="J247">
        <v>5.5</v>
      </c>
      <c r="K247" s="3">
        <f t="shared" si="6"/>
        <v>59.13</v>
      </c>
      <c r="L247" s="2">
        <f t="shared" si="7"/>
        <v>11.826000000000001</v>
      </c>
      <c r="M247" t="s">
        <v>53</v>
      </c>
      <c r="N247" t="s">
        <v>54</v>
      </c>
      <c r="O247" t="s">
        <v>38</v>
      </c>
    </row>
    <row r="248" spans="1:15" x14ac:dyDescent="0.25">
      <c r="A248" s="1">
        <v>45315</v>
      </c>
      <c r="B248" t="s">
        <v>11</v>
      </c>
      <c r="C248" t="s">
        <v>17</v>
      </c>
      <c r="D248" t="s">
        <v>24</v>
      </c>
      <c r="E248" t="s">
        <v>25</v>
      </c>
      <c r="F248" s="2">
        <v>73.28</v>
      </c>
      <c r="G248" s="2">
        <v>120</v>
      </c>
      <c r="H248">
        <v>5</v>
      </c>
      <c r="I248" t="s">
        <v>22</v>
      </c>
      <c r="J248">
        <v>8.4</v>
      </c>
      <c r="K248" s="3">
        <f t="shared" si="6"/>
        <v>46.72</v>
      </c>
      <c r="L248" s="2">
        <f t="shared" si="7"/>
        <v>9.3439999999999994</v>
      </c>
      <c r="M248" t="s">
        <v>55</v>
      </c>
      <c r="N248" t="s">
        <v>56</v>
      </c>
      <c r="O248" t="s">
        <v>28</v>
      </c>
    </row>
    <row r="249" spans="1:15" x14ac:dyDescent="0.25">
      <c r="A249" s="1">
        <v>45315</v>
      </c>
      <c r="B249" t="s">
        <v>21</v>
      </c>
      <c r="C249" t="s">
        <v>17</v>
      </c>
      <c r="D249" t="s">
        <v>13</v>
      </c>
      <c r="E249" t="s">
        <v>26</v>
      </c>
      <c r="F249" s="2">
        <v>77.5</v>
      </c>
      <c r="G249" s="2">
        <v>120</v>
      </c>
      <c r="H249">
        <v>5</v>
      </c>
      <c r="I249" t="s">
        <v>22</v>
      </c>
      <c r="J249">
        <v>4.3</v>
      </c>
      <c r="K249" s="3">
        <f t="shared" si="6"/>
        <v>42.5</v>
      </c>
      <c r="L249" s="2">
        <f t="shared" si="7"/>
        <v>8.5</v>
      </c>
      <c r="M249" t="s">
        <v>57</v>
      </c>
      <c r="N249" t="s">
        <v>58</v>
      </c>
      <c r="O249" t="s">
        <v>29</v>
      </c>
    </row>
    <row r="250" spans="1:15" x14ac:dyDescent="0.25">
      <c r="A250" s="1">
        <v>45315</v>
      </c>
      <c r="B250" t="s">
        <v>21</v>
      </c>
      <c r="C250" t="s">
        <v>17</v>
      </c>
      <c r="D250" t="s">
        <v>24</v>
      </c>
      <c r="E250" t="s">
        <v>20</v>
      </c>
      <c r="F250" s="2">
        <v>78.77</v>
      </c>
      <c r="G250" s="2">
        <v>120</v>
      </c>
      <c r="H250">
        <v>10</v>
      </c>
      <c r="I250" t="s">
        <v>19</v>
      </c>
      <c r="J250">
        <v>6.4</v>
      </c>
      <c r="K250" s="3">
        <f t="shared" si="6"/>
        <v>41.230000000000004</v>
      </c>
      <c r="L250" s="2">
        <f t="shared" si="7"/>
        <v>8.2460000000000004</v>
      </c>
      <c r="M250" t="s">
        <v>59</v>
      </c>
      <c r="N250" t="s">
        <v>60</v>
      </c>
      <c r="O250" t="s">
        <v>30</v>
      </c>
    </row>
    <row r="251" spans="1:15" x14ac:dyDescent="0.25">
      <c r="A251" s="1">
        <v>45315</v>
      </c>
      <c r="B251" t="s">
        <v>11</v>
      </c>
      <c r="C251" t="s">
        <v>17</v>
      </c>
      <c r="D251" t="s">
        <v>13</v>
      </c>
      <c r="E251" t="s">
        <v>20</v>
      </c>
      <c r="F251" s="2">
        <v>76.599999999999994</v>
      </c>
      <c r="G251" s="2">
        <v>120</v>
      </c>
      <c r="H251">
        <v>10</v>
      </c>
      <c r="I251" t="s">
        <v>22</v>
      </c>
      <c r="J251">
        <v>6</v>
      </c>
      <c r="K251" s="3">
        <f t="shared" si="6"/>
        <v>43.400000000000006</v>
      </c>
      <c r="L251" s="2">
        <f t="shared" si="7"/>
        <v>8.6800000000000015</v>
      </c>
      <c r="M251" t="s">
        <v>59</v>
      </c>
      <c r="N251" t="s">
        <v>61</v>
      </c>
      <c r="O251" t="s">
        <v>31</v>
      </c>
    </row>
    <row r="252" spans="1:15" x14ac:dyDescent="0.25">
      <c r="A252" s="1">
        <v>45315</v>
      </c>
      <c r="B252" t="s">
        <v>21</v>
      </c>
      <c r="C252" t="s">
        <v>17</v>
      </c>
      <c r="D252" t="s">
        <v>24</v>
      </c>
      <c r="E252" t="s">
        <v>18</v>
      </c>
      <c r="F252" s="2">
        <v>10.56</v>
      </c>
      <c r="G252" s="2">
        <v>120</v>
      </c>
      <c r="H252">
        <v>8</v>
      </c>
      <c r="I252" t="s">
        <v>19</v>
      </c>
      <c r="J252">
        <v>7.6</v>
      </c>
      <c r="K252" s="3">
        <f t="shared" si="6"/>
        <v>109.44</v>
      </c>
      <c r="L252" s="2">
        <f t="shared" si="7"/>
        <v>21.888000000000002</v>
      </c>
      <c r="M252" t="s">
        <v>62</v>
      </c>
      <c r="N252" t="s">
        <v>63</v>
      </c>
      <c r="O252" t="s">
        <v>31</v>
      </c>
    </row>
    <row r="253" spans="1:15" x14ac:dyDescent="0.25">
      <c r="A253" s="1">
        <v>45315</v>
      </c>
      <c r="B253" t="s">
        <v>11</v>
      </c>
      <c r="C253" t="s">
        <v>12</v>
      </c>
      <c r="D253" t="s">
        <v>24</v>
      </c>
      <c r="E253" t="s">
        <v>18</v>
      </c>
      <c r="F253" s="2">
        <v>40.299999999999997</v>
      </c>
      <c r="G253" s="2">
        <v>120</v>
      </c>
      <c r="H253">
        <v>10</v>
      </c>
      <c r="I253" t="s">
        <v>15</v>
      </c>
      <c r="J253">
        <v>7</v>
      </c>
      <c r="K253" s="3">
        <f t="shared" si="6"/>
        <v>79.7</v>
      </c>
      <c r="L253" s="2">
        <f t="shared" si="7"/>
        <v>15.940000000000001</v>
      </c>
      <c r="M253" t="s">
        <v>64</v>
      </c>
      <c r="N253" t="s">
        <v>65</v>
      </c>
      <c r="O253" t="s">
        <v>31</v>
      </c>
    </row>
    <row r="254" spans="1:15" x14ac:dyDescent="0.25">
      <c r="A254" s="1">
        <v>45315</v>
      </c>
      <c r="B254" t="s">
        <v>11</v>
      </c>
      <c r="C254" t="s">
        <v>12</v>
      </c>
      <c r="D254" t="s">
        <v>13</v>
      </c>
      <c r="E254" t="s">
        <v>20</v>
      </c>
      <c r="F254" s="2">
        <v>23.08</v>
      </c>
      <c r="G254" s="2">
        <v>120</v>
      </c>
      <c r="H254">
        <v>6</v>
      </c>
      <c r="I254" t="s">
        <v>22</v>
      </c>
      <c r="J254">
        <v>4.9000000000000004</v>
      </c>
      <c r="K254" s="3">
        <f t="shared" si="6"/>
        <v>96.92</v>
      </c>
      <c r="L254" s="2">
        <f t="shared" si="7"/>
        <v>19.384</v>
      </c>
      <c r="M254" t="s">
        <v>66</v>
      </c>
      <c r="N254" t="s">
        <v>67</v>
      </c>
      <c r="O254" t="s">
        <v>28</v>
      </c>
    </row>
    <row r="255" spans="1:15" x14ac:dyDescent="0.25">
      <c r="A255" s="1">
        <v>45315</v>
      </c>
      <c r="B255" t="s">
        <v>11</v>
      </c>
      <c r="C255" t="s">
        <v>12</v>
      </c>
      <c r="D255" t="s">
        <v>24</v>
      </c>
      <c r="E255" t="s">
        <v>23</v>
      </c>
      <c r="F255" s="2">
        <v>93.22</v>
      </c>
      <c r="G255" s="2">
        <v>120</v>
      </c>
      <c r="H255">
        <v>3</v>
      </c>
      <c r="I255" t="s">
        <v>19</v>
      </c>
      <c r="J255">
        <v>7.2</v>
      </c>
      <c r="K255" s="3">
        <f t="shared" si="6"/>
        <v>26.78</v>
      </c>
      <c r="L255" s="2">
        <f t="shared" si="7"/>
        <v>5.3560000000000008</v>
      </c>
      <c r="M255" t="s">
        <v>68</v>
      </c>
      <c r="N255" t="s">
        <v>69</v>
      </c>
      <c r="O255" t="s">
        <v>28</v>
      </c>
    </row>
    <row r="256" spans="1:15" x14ac:dyDescent="0.25">
      <c r="A256" s="1">
        <v>45315</v>
      </c>
      <c r="B256" t="s">
        <v>11</v>
      </c>
      <c r="C256" t="s">
        <v>17</v>
      </c>
      <c r="D256" t="s">
        <v>24</v>
      </c>
      <c r="E256" t="s">
        <v>18</v>
      </c>
      <c r="F256" s="2">
        <v>75.88</v>
      </c>
      <c r="G256" s="2">
        <v>120</v>
      </c>
      <c r="H256">
        <v>7</v>
      </c>
      <c r="I256" t="s">
        <v>22</v>
      </c>
      <c r="J256">
        <v>8.9</v>
      </c>
      <c r="K256" s="3">
        <f t="shared" si="6"/>
        <v>44.120000000000005</v>
      </c>
      <c r="L256" s="2">
        <f t="shared" si="7"/>
        <v>8.8240000000000016</v>
      </c>
      <c r="M256" t="s">
        <v>70</v>
      </c>
      <c r="N256" t="s">
        <v>67</v>
      </c>
      <c r="O256" t="s">
        <v>31</v>
      </c>
    </row>
    <row r="257" spans="1:15" x14ac:dyDescent="0.25">
      <c r="A257" s="1">
        <v>45316</v>
      </c>
      <c r="B257" t="s">
        <v>11</v>
      </c>
      <c r="C257" t="s">
        <v>17</v>
      </c>
      <c r="D257" t="s">
        <v>13</v>
      </c>
      <c r="E257" t="s">
        <v>23</v>
      </c>
      <c r="F257" s="2">
        <v>60.96</v>
      </c>
      <c r="G257" s="2">
        <v>120</v>
      </c>
      <c r="H257">
        <v>2</v>
      </c>
      <c r="I257" t="s">
        <v>15</v>
      </c>
      <c r="J257">
        <v>4.9000000000000004</v>
      </c>
      <c r="K257" s="3">
        <f t="shared" si="6"/>
        <v>59.04</v>
      </c>
      <c r="L257" s="2">
        <f t="shared" si="7"/>
        <v>11.808</v>
      </c>
      <c r="M257" t="s">
        <v>39</v>
      </c>
      <c r="N257" t="s">
        <v>40</v>
      </c>
      <c r="O257" t="s">
        <v>29</v>
      </c>
    </row>
    <row r="258" spans="1:15" x14ac:dyDescent="0.25">
      <c r="A258" s="1">
        <v>45316</v>
      </c>
      <c r="B258" t="s">
        <v>11</v>
      </c>
      <c r="C258" t="s">
        <v>17</v>
      </c>
      <c r="D258" t="s">
        <v>13</v>
      </c>
      <c r="E258" t="s">
        <v>14</v>
      </c>
      <c r="F258" s="2">
        <v>48.51</v>
      </c>
      <c r="G258" s="2">
        <v>120</v>
      </c>
      <c r="H258">
        <v>7</v>
      </c>
      <c r="I258" t="s">
        <v>15</v>
      </c>
      <c r="J258">
        <v>5.2</v>
      </c>
      <c r="K258" s="3">
        <f t="shared" ref="K258:K321" si="8">G258-F258</f>
        <v>71.490000000000009</v>
      </c>
      <c r="L258" s="2">
        <f t="shared" ref="L258:L321" si="9">IF(G258&gt;30,K258*0.2,G258*0.1)</f>
        <v>14.298000000000002</v>
      </c>
      <c r="M258" t="s">
        <v>41</v>
      </c>
      <c r="N258" t="s">
        <v>42</v>
      </c>
      <c r="O258" t="s">
        <v>32</v>
      </c>
    </row>
    <row r="259" spans="1:15" x14ac:dyDescent="0.25">
      <c r="A259" s="1">
        <v>45316</v>
      </c>
      <c r="B259" t="s">
        <v>21</v>
      </c>
      <c r="C259" t="s">
        <v>12</v>
      </c>
      <c r="D259" t="s">
        <v>24</v>
      </c>
      <c r="E259" t="s">
        <v>25</v>
      </c>
      <c r="F259" s="2">
        <v>60.01</v>
      </c>
      <c r="G259" s="2">
        <v>120</v>
      </c>
      <c r="H259">
        <v>4</v>
      </c>
      <c r="I259" t="s">
        <v>19</v>
      </c>
      <c r="J259">
        <v>4.5</v>
      </c>
      <c r="K259" s="3">
        <f t="shared" si="8"/>
        <v>59.99</v>
      </c>
      <c r="L259" s="2">
        <f t="shared" si="9"/>
        <v>11.998000000000001</v>
      </c>
      <c r="M259" t="s">
        <v>43</v>
      </c>
      <c r="N259" t="s">
        <v>44</v>
      </c>
      <c r="O259" t="s">
        <v>31</v>
      </c>
    </row>
    <row r="260" spans="1:15" x14ac:dyDescent="0.25">
      <c r="A260" s="1">
        <v>45316</v>
      </c>
      <c r="B260" t="s">
        <v>11</v>
      </c>
      <c r="C260" t="s">
        <v>17</v>
      </c>
      <c r="D260" t="s">
        <v>24</v>
      </c>
      <c r="E260" t="s">
        <v>26</v>
      </c>
      <c r="F260" s="2">
        <v>96.11</v>
      </c>
      <c r="G260" s="2">
        <v>120</v>
      </c>
      <c r="H260">
        <v>1</v>
      </c>
      <c r="I260" t="s">
        <v>22</v>
      </c>
      <c r="J260">
        <v>7.8</v>
      </c>
      <c r="K260" s="3">
        <f t="shared" si="8"/>
        <v>23.89</v>
      </c>
      <c r="L260" s="2">
        <f t="shared" si="9"/>
        <v>4.7780000000000005</v>
      </c>
      <c r="M260" t="s">
        <v>45</v>
      </c>
      <c r="N260" t="s">
        <v>46</v>
      </c>
      <c r="O260" t="s">
        <v>32</v>
      </c>
    </row>
    <row r="261" spans="1:15" x14ac:dyDescent="0.25">
      <c r="A261" s="1">
        <v>45316</v>
      </c>
      <c r="B261" t="s">
        <v>11</v>
      </c>
      <c r="C261" t="s">
        <v>12</v>
      </c>
      <c r="D261" t="s">
        <v>24</v>
      </c>
      <c r="E261" t="s">
        <v>26</v>
      </c>
      <c r="F261" s="2">
        <v>51.13</v>
      </c>
      <c r="G261" s="2">
        <v>120</v>
      </c>
      <c r="H261">
        <v>4</v>
      </c>
      <c r="I261" t="s">
        <v>15</v>
      </c>
      <c r="J261">
        <v>4</v>
      </c>
      <c r="K261" s="3">
        <f t="shared" si="8"/>
        <v>68.87</v>
      </c>
      <c r="L261" s="2">
        <f t="shared" si="9"/>
        <v>13.774000000000001</v>
      </c>
      <c r="M261" t="s">
        <v>47</v>
      </c>
      <c r="N261" t="s">
        <v>48</v>
      </c>
      <c r="O261" t="s">
        <v>33</v>
      </c>
    </row>
    <row r="262" spans="1:15" x14ac:dyDescent="0.25">
      <c r="A262" s="1">
        <v>45316</v>
      </c>
      <c r="B262" t="s">
        <v>21</v>
      </c>
      <c r="C262" t="s">
        <v>12</v>
      </c>
      <c r="D262" t="s">
        <v>13</v>
      </c>
      <c r="E262" t="s">
        <v>20</v>
      </c>
      <c r="F262" s="2">
        <v>40.049999999999997</v>
      </c>
      <c r="G262" s="2">
        <v>120</v>
      </c>
      <c r="H262">
        <v>4</v>
      </c>
      <c r="I262" t="s">
        <v>19</v>
      </c>
      <c r="J262">
        <v>9.6999999999999993</v>
      </c>
      <c r="K262" s="3">
        <f t="shared" si="8"/>
        <v>79.95</v>
      </c>
      <c r="L262" s="2">
        <f t="shared" si="9"/>
        <v>15.990000000000002</v>
      </c>
      <c r="M262" t="s">
        <v>49</v>
      </c>
      <c r="N262" t="s">
        <v>50</v>
      </c>
      <c r="O262" t="s">
        <v>34</v>
      </c>
    </row>
    <row r="263" spans="1:15" x14ac:dyDescent="0.25">
      <c r="A263" s="1">
        <v>45316</v>
      </c>
      <c r="B263" t="s">
        <v>11</v>
      </c>
      <c r="C263" t="s">
        <v>17</v>
      </c>
      <c r="D263" t="s">
        <v>24</v>
      </c>
      <c r="E263" t="s">
        <v>20</v>
      </c>
      <c r="F263" s="2">
        <v>21.87</v>
      </c>
      <c r="G263" s="2">
        <v>120</v>
      </c>
      <c r="H263">
        <v>2</v>
      </c>
      <c r="I263" t="s">
        <v>22</v>
      </c>
      <c r="J263">
        <v>6.9</v>
      </c>
      <c r="K263" s="3">
        <f t="shared" si="8"/>
        <v>98.13</v>
      </c>
      <c r="L263" s="2">
        <f t="shared" si="9"/>
        <v>19.626000000000001</v>
      </c>
      <c r="M263" t="s">
        <v>51</v>
      </c>
      <c r="N263" t="s">
        <v>52</v>
      </c>
      <c r="O263" t="s">
        <v>35</v>
      </c>
    </row>
    <row r="264" spans="1:15" x14ac:dyDescent="0.25">
      <c r="A264" s="1">
        <v>45316</v>
      </c>
      <c r="B264" t="s">
        <v>16</v>
      </c>
      <c r="C264" t="s">
        <v>12</v>
      </c>
      <c r="D264" t="s">
        <v>24</v>
      </c>
      <c r="E264" t="s">
        <v>23</v>
      </c>
      <c r="F264" s="2">
        <v>15.43</v>
      </c>
      <c r="G264" s="2">
        <v>120</v>
      </c>
      <c r="H264">
        <v>1</v>
      </c>
      <c r="I264" t="s">
        <v>15</v>
      </c>
      <c r="J264">
        <v>6.1</v>
      </c>
      <c r="K264" s="3">
        <f t="shared" si="8"/>
        <v>104.57</v>
      </c>
      <c r="L264" s="2">
        <f t="shared" si="9"/>
        <v>20.914000000000001</v>
      </c>
      <c r="M264" t="s">
        <v>53</v>
      </c>
      <c r="N264" t="s">
        <v>54</v>
      </c>
      <c r="O264" t="s">
        <v>36</v>
      </c>
    </row>
    <row r="265" spans="1:15" x14ac:dyDescent="0.25">
      <c r="A265" s="1">
        <v>45316</v>
      </c>
      <c r="B265" t="s">
        <v>21</v>
      </c>
      <c r="C265" t="s">
        <v>12</v>
      </c>
      <c r="D265" t="s">
        <v>24</v>
      </c>
      <c r="E265" t="s">
        <v>25</v>
      </c>
      <c r="F265" s="2">
        <v>53.3</v>
      </c>
      <c r="G265" s="2">
        <v>120</v>
      </c>
      <c r="H265">
        <v>3</v>
      </c>
      <c r="I265" t="s">
        <v>22</v>
      </c>
      <c r="J265">
        <v>7.5</v>
      </c>
      <c r="K265" s="3">
        <f t="shared" si="8"/>
        <v>66.7</v>
      </c>
      <c r="L265" s="2">
        <f t="shared" si="9"/>
        <v>13.340000000000002</v>
      </c>
      <c r="M265" t="s">
        <v>55</v>
      </c>
      <c r="N265" t="s">
        <v>56</v>
      </c>
      <c r="O265" t="s">
        <v>37</v>
      </c>
    </row>
    <row r="266" spans="1:15" x14ac:dyDescent="0.25">
      <c r="A266" s="1">
        <v>45316</v>
      </c>
      <c r="B266" t="s">
        <v>11</v>
      </c>
      <c r="C266" t="s">
        <v>17</v>
      </c>
      <c r="D266" t="s">
        <v>13</v>
      </c>
      <c r="E266" t="s">
        <v>23</v>
      </c>
      <c r="F266" s="2">
        <v>39.619999999999997</v>
      </c>
      <c r="G266" s="2">
        <v>120</v>
      </c>
      <c r="H266">
        <v>7</v>
      </c>
      <c r="I266" t="s">
        <v>19</v>
      </c>
      <c r="J266">
        <v>7.5</v>
      </c>
      <c r="K266" s="3">
        <f t="shared" si="8"/>
        <v>80.38</v>
      </c>
      <c r="L266" s="2">
        <f t="shared" si="9"/>
        <v>16.076000000000001</v>
      </c>
      <c r="M266" t="s">
        <v>57</v>
      </c>
      <c r="N266" t="s">
        <v>58</v>
      </c>
      <c r="O266" t="s">
        <v>38</v>
      </c>
    </row>
    <row r="267" spans="1:15" x14ac:dyDescent="0.25">
      <c r="A267" s="1">
        <v>45316</v>
      </c>
      <c r="B267" t="s">
        <v>16</v>
      </c>
      <c r="C267" t="s">
        <v>12</v>
      </c>
      <c r="D267" t="s">
        <v>13</v>
      </c>
      <c r="E267" t="s">
        <v>23</v>
      </c>
      <c r="F267" s="2">
        <v>84.87</v>
      </c>
      <c r="G267" s="2">
        <v>120</v>
      </c>
      <c r="H267">
        <v>3</v>
      </c>
      <c r="I267" t="s">
        <v>22</v>
      </c>
      <c r="J267">
        <v>7.4</v>
      </c>
      <c r="K267" s="3">
        <f t="shared" si="8"/>
        <v>35.129999999999995</v>
      </c>
      <c r="L267" s="2">
        <f t="shared" si="9"/>
        <v>7.0259999999999998</v>
      </c>
      <c r="M267" t="s">
        <v>59</v>
      </c>
      <c r="N267" t="s">
        <v>60</v>
      </c>
      <c r="O267" t="s">
        <v>28</v>
      </c>
    </row>
    <row r="268" spans="1:15" x14ac:dyDescent="0.25">
      <c r="A268" s="1">
        <v>45316</v>
      </c>
      <c r="B268" t="s">
        <v>16</v>
      </c>
      <c r="C268" t="s">
        <v>12</v>
      </c>
      <c r="D268" t="s">
        <v>24</v>
      </c>
      <c r="E268" t="s">
        <v>26</v>
      </c>
      <c r="F268" s="2">
        <v>90.5</v>
      </c>
      <c r="G268" s="2">
        <v>120</v>
      </c>
      <c r="H268">
        <v>10</v>
      </c>
      <c r="I268" t="s">
        <v>19</v>
      </c>
      <c r="J268">
        <v>8.1</v>
      </c>
      <c r="K268" s="3">
        <f t="shared" si="8"/>
        <v>29.5</v>
      </c>
      <c r="L268" s="2">
        <f t="shared" si="9"/>
        <v>5.9</v>
      </c>
      <c r="M268" t="s">
        <v>59</v>
      </c>
      <c r="N268" t="s">
        <v>61</v>
      </c>
      <c r="O268" t="s">
        <v>29</v>
      </c>
    </row>
    <row r="269" spans="1:15" x14ac:dyDescent="0.25">
      <c r="A269" s="1">
        <v>45316</v>
      </c>
      <c r="B269" t="s">
        <v>21</v>
      </c>
      <c r="C269" t="s">
        <v>17</v>
      </c>
      <c r="D269" t="s">
        <v>24</v>
      </c>
      <c r="E269" t="s">
        <v>18</v>
      </c>
      <c r="F269" s="2">
        <v>26.23</v>
      </c>
      <c r="G269" s="2">
        <v>120</v>
      </c>
      <c r="H269">
        <v>9</v>
      </c>
      <c r="I269" t="s">
        <v>22</v>
      </c>
      <c r="J269">
        <v>5.9</v>
      </c>
      <c r="K269" s="3">
        <f t="shared" si="8"/>
        <v>93.77</v>
      </c>
      <c r="L269" s="2">
        <f t="shared" si="9"/>
        <v>18.754000000000001</v>
      </c>
      <c r="M269" t="s">
        <v>62</v>
      </c>
      <c r="N269" t="s">
        <v>63</v>
      </c>
      <c r="O269" t="s">
        <v>30</v>
      </c>
    </row>
    <row r="270" spans="1:15" x14ac:dyDescent="0.25">
      <c r="A270" s="1">
        <v>45316</v>
      </c>
      <c r="B270" t="s">
        <v>16</v>
      </c>
      <c r="C270" t="s">
        <v>12</v>
      </c>
      <c r="D270" t="s">
        <v>13</v>
      </c>
      <c r="E270" t="s">
        <v>20</v>
      </c>
      <c r="F270" s="2">
        <v>70.19</v>
      </c>
      <c r="G270" s="2">
        <v>120</v>
      </c>
      <c r="H270">
        <v>9</v>
      </c>
      <c r="I270" t="s">
        <v>19</v>
      </c>
      <c r="J270">
        <v>6.7</v>
      </c>
      <c r="K270" s="3">
        <f t="shared" si="8"/>
        <v>49.81</v>
      </c>
      <c r="L270" s="2">
        <f t="shared" si="9"/>
        <v>9.9620000000000015</v>
      </c>
      <c r="M270" t="s">
        <v>64</v>
      </c>
      <c r="N270" t="s">
        <v>65</v>
      </c>
      <c r="O270" t="s">
        <v>31</v>
      </c>
    </row>
    <row r="271" spans="1:15" x14ac:dyDescent="0.25">
      <c r="A271" s="1">
        <v>45316</v>
      </c>
      <c r="B271" t="s">
        <v>16</v>
      </c>
      <c r="C271" t="s">
        <v>17</v>
      </c>
      <c r="D271" t="s">
        <v>24</v>
      </c>
      <c r="E271" t="s">
        <v>26</v>
      </c>
      <c r="F271" s="2">
        <v>34.31</v>
      </c>
      <c r="G271" s="2">
        <v>120</v>
      </c>
      <c r="H271">
        <v>8</v>
      </c>
      <c r="I271" t="s">
        <v>22</v>
      </c>
      <c r="J271">
        <v>5.7</v>
      </c>
      <c r="K271" s="3">
        <f t="shared" si="8"/>
        <v>85.69</v>
      </c>
      <c r="L271" s="2">
        <f t="shared" si="9"/>
        <v>17.138000000000002</v>
      </c>
      <c r="M271" t="s">
        <v>66</v>
      </c>
      <c r="N271" t="s">
        <v>67</v>
      </c>
      <c r="O271" t="s">
        <v>31</v>
      </c>
    </row>
    <row r="272" spans="1:15" x14ac:dyDescent="0.25">
      <c r="A272" s="1">
        <v>45316</v>
      </c>
      <c r="B272" t="s">
        <v>21</v>
      </c>
      <c r="C272" t="s">
        <v>17</v>
      </c>
      <c r="D272" t="s">
        <v>24</v>
      </c>
      <c r="E272" t="s">
        <v>23</v>
      </c>
      <c r="F272" s="2">
        <v>74.099999999999994</v>
      </c>
      <c r="G272" s="2">
        <v>120</v>
      </c>
      <c r="H272">
        <v>1</v>
      </c>
      <c r="I272" t="s">
        <v>19</v>
      </c>
      <c r="J272">
        <v>9.1999999999999993</v>
      </c>
      <c r="K272" s="3">
        <f t="shared" si="8"/>
        <v>45.900000000000006</v>
      </c>
      <c r="L272" s="2">
        <f t="shared" si="9"/>
        <v>9.1800000000000015</v>
      </c>
      <c r="M272" t="s">
        <v>68</v>
      </c>
      <c r="N272" t="s">
        <v>69</v>
      </c>
      <c r="O272" t="s">
        <v>31</v>
      </c>
    </row>
    <row r="273" spans="1:15" x14ac:dyDescent="0.25">
      <c r="A273" s="1">
        <v>45316</v>
      </c>
      <c r="B273" t="s">
        <v>11</v>
      </c>
      <c r="C273" t="s">
        <v>17</v>
      </c>
      <c r="D273" t="s">
        <v>13</v>
      </c>
      <c r="E273" t="s">
        <v>14</v>
      </c>
      <c r="F273" s="2">
        <v>88.36</v>
      </c>
      <c r="G273" s="2">
        <v>120</v>
      </c>
      <c r="H273">
        <v>5</v>
      </c>
      <c r="I273" t="s">
        <v>19</v>
      </c>
      <c r="J273">
        <v>9.6</v>
      </c>
      <c r="K273" s="3">
        <f t="shared" si="8"/>
        <v>31.64</v>
      </c>
      <c r="L273" s="2">
        <f t="shared" si="9"/>
        <v>6.3280000000000003</v>
      </c>
      <c r="M273" t="s">
        <v>70</v>
      </c>
      <c r="N273" t="s">
        <v>67</v>
      </c>
      <c r="O273" t="s">
        <v>28</v>
      </c>
    </row>
    <row r="274" spans="1:15" x14ac:dyDescent="0.25">
      <c r="A274" s="1">
        <v>45317</v>
      </c>
      <c r="B274" t="s">
        <v>11</v>
      </c>
      <c r="C274" t="s">
        <v>12</v>
      </c>
      <c r="D274" t="s">
        <v>24</v>
      </c>
      <c r="E274" t="s">
        <v>14</v>
      </c>
      <c r="F274" s="2">
        <v>80.05</v>
      </c>
      <c r="G274" s="2">
        <v>120</v>
      </c>
      <c r="H274">
        <v>5</v>
      </c>
      <c r="I274" t="s">
        <v>15</v>
      </c>
      <c r="J274">
        <v>9.4</v>
      </c>
      <c r="K274" s="3">
        <f t="shared" si="8"/>
        <v>39.950000000000003</v>
      </c>
      <c r="L274" s="2">
        <f t="shared" si="9"/>
        <v>7.9900000000000011</v>
      </c>
      <c r="M274" t="s">
        <v>39</v>
      </c>
      <c r="N274" t="s">
        <v>40</v>
      </c>
      <c r="O274" t="s">
        <v>28</v>
      </c>
    </row>
    <row r="275" spans="1:15" x14ac:dyDescent="0.25">
      <c r="A275" s="1">
        <v>45317</v>
      </c>
      <c r="B275" t="s">
        <v>11</v>
      </c>
      <c r="C275" t="s">
        <v>12</v>
      </c>
      <c r="D275" t="s">
        <v>24</v>
      </c>
      <c r="E275" t="s">
        <v>26</v>
      </c>
      <c r="F275" s="2">
        <v>69.37</v>
      </c>
      <c r="G275" s="2">
        <v>120</v>
      </c>
      <c r="H275">
        <v>9</v>
      </c>
      <c r="I275" t="s">
        <v>22</v>
      </c>
      <c r="J275">
        <v>4</v>
      </c>
      <c r="K275" s="3">
        <f t="shared" si="8"/>
        <v>50.629999999999995</v>
      </c>
      <c r="L275" s="2">
        <f t="shared" si="9"/>
        <v>10.125999999999999</v>
      </c>
      <c r="M275" t="s">
        <v>41</v>
      </c>
      <c r="N275" t="s">
        <v>42</v>
      </c>
      <c r="O275" t="s">
        <v>31</v>
      </c>
    </row>
    <row r="276" spans="1:15" x14ac:dyDescent="0.25">
      <c r="A276" s="1">
        <v>45317</v>
      </c>
      <c r="B276" t="s">
        <v>16</v>
      </c>
      <c r="C276" t="s">
        <v>17</v>
      </c>
      <c r="D276" t="s">
        <v>13</v>
      </c>
      <c r="E276" t="s">
        <v>23</v>
      </c>
      <c r="F276" s="2">
        <v>64.989999999999995</v>
      </c>
      <c r="G276" s="2">
        <v>120</v>
      </c>
      <c r="H276">
        <v>1</v>
      </c>
      <c r="I276" t="s">
        <v>15</v>
      </c>
      <c r="J276">
        <v>4.5</v>
      </c>
      <c r="K276" s="3">
        <f t="shared" si="8"/>
        <v>55.010000000000005</v>
      </c>
      <c r="L276" s="2">
        <f t="shared" si="9"/>
        <v>11.002000000000002</v>
      </c>
      <c r="M276" t="s">
        <v>43</v>
      </c>
      <c r="N276" t="s">
        <v>44</v>
      </c>
      <c r="O276" t="s">
        <v>29</v>
      </c>
    </row>
    <row r="277" spans="1:15" x14ac:dyDescent="0.25">
      <c r="A277" s="1">
        <v>45317</v>
      </c>
      <c r="B277" t="s">
        <v>21</v>
      </c>
      <c r="C277" t="s">
        <v>17</v>
      </c>
      <c r="D277" t="s">
        <v>13</v>
      </c>
      <c r="E277" t="s">
        <v>23</v>
      </c>
      <c r="F277" s="2">
        <v>12.09</v>
      </c>
      <c r="G277" s="2">
        <v>120</v>
      </c>
      <c r="H277">
        <v>1</v>
      </c>
      <c r="I277" t="s">
        <v>15</v>
      </c>
      <c r="J277">
        <v>8.1999999999999993</v>
      </c>
      <c r="K277" s="3">
        <f t="shared" si="8"/>
        <v>107.91</v>
      </c>
      <c r="L277" s="2">
        <f t="shared" si="9"/>
        <v>21.582000000000001</v>
      </c>
      <c r="M277" t="s">
        <v>45</v>
      </c>
      <c r="N277" t="s">
        <v>46</v>
      </c>
      <c r="O277" t="s">
        <v>32</v>
      </c>
    </row>
    <row r="278" spans="1:15" x14ac:dyDescent="0.25">
      <c r="A278" s="1">
        <v>45317</v>
      </c>
      <c r="B278" t="s">
        <v>11</v>
      </c>
      <c r="C278" t="s">
        <v>17</v>
      </c>
      <c r="D278" t="s">
        <v>24</v>
      </c>
      <c r="E278" t="s">
        <v>18</v>
      </c>
      <c r="F278" s="2">
        <v>87.08</v>
      </c>
      <c r="G278" s="2">
        <v>120</v>
      </c>
      <c r="H278">
        <v>7</v>
      </c>
      <c r="I278" t="s">
        <v>19</v>
      </c>
      <c r="J278">
        <v>5.5</v>
      </c>
      <c r="K278" s="3">
        <f t="shared" si="8"/>
        <v>32.92</v>
      </c>
      <c r="L278" s="2">
        <f t="shared" si="9"/>
        <v>6.5840000000000005</v>
      </c>
      <c r="M278" t="s">
        <v>47</v>
      </c>
      <c r="N278" t="s">
        <v>48</v>
      </c>
      <c r="O278" t="s">
        <v>31</v>
      </c>
    </row>
    <row r="279" spans="1:15" x14ac:dyDescent="0.25">
      <c r="A279" s="1">
        <v>45317</v>
      </c>
      <c r="B279" t="s">
        <v>11</v>
      </c>
      <c r="C279" t="s">
        <v>17</v>
      </c>
      <c r="D279" t="s">
        <v>24</v>
      </c>
      <c r="E279" t="s">
        <v>25</v>
      </c>
      <c r="F279" s="2">
        <v>25.55</v>
      </c>
      <c r="G279" s="2">
        <v>120</v>
      </c>
      <c r="H279">
        <v>4</v>
      </c>
      <c r="I279" t="s">
        <v>22</v>
      </c>
      <c r="J279">
        <v>5.7</v>
      </c>
      <c r="K279" s="3">
        <f t="shared" si="8"/>
        <v>94.45</v>
      </c>
      <c r="L279" s="2">
        <f t="shared" si="9"/>
        <v>18.89</v>
      </c>
      <c r="M279" t="s">
        <v>49</v>
      </c>
      <c r="N279" t="s">
        <v>50</v>
      </c>
      <c r="O279" t="s">
        <v>32</v>
      </c>
    </row>
    <row r="280" spans="1:15" x14ac:dyDescent="0.25">
      <c r="A280" s="1">
        <v>45317</v>
      </c>
      <c r="B280" t="s">
        <v>11</v>
      </c>
      <c r="C280" t="s">
        <v>12</v>
      </c>
      <c r="D280" t="s">
        <v>13</v>
      </c>
      <c r="E280" t="s">
        <v>14</v>
      </c>
      <c r="F280" s="2">
        <v>78.88</v>
      </c>
      <c r="G280" s="2">
        <v>120</v>
      </c>
      <c r="H280">
        <v>2</v>
      </c>
      <c r="I280" t="s">
        <v>19</v>
      </c>
      <c r="J280">
        <v>9.1</v>
      </c>
      <c r="K280" s="3">
        <f t="shared" si="8"/>
        <v>41.120000000000005</v>
      </c>
      <c r="L280" s="2">
        <f t="shared" si="9"/>
        <v>8.224000000000002</v>
      </c>
      <c r="M280" t="s">
        <v>51</v>
      </c>
      <c r="N280" t="s">
        <v>52</v>
      </c>
      <c r="O280" t="s">
        <v>33</v>
      </c>
    </row>
    <row r="281" spans="1:15" x14ac:dyDescent="0.25">
      <c r="A281" s="1">
        <v>45317</v>
      </c>
      <c r="B281" t="s">
        <v>11</v>
      </c>
      <c r="C281" t="s">
        <v>17</v>
      </c>
      <c r="D281" t="s">
        <v>24</v>
      </c>
      <c r="E281" t="s">
        <v>14</v>
      </c>
      <c r="F281" s="2">
        <v>33.33</v>
      </c>
      <c r="G281" s="2">
        <v>120</v>
      </c>
      <c r="H281">
        <v>2</v>
      </c>
      <c r="I281" t="s">
        <v>15</v>
      </c>
      <c r="J281">
        <v>6.4</v>
      </c>
      <c r="K281" s="3">
        <f t="shared" si="8"/>
        <v>86.67</v>
      </c>
      <c r="L281" s="2">
        <f t="shared" si="9"/>
        <v>17.334</v>
      </c>
      <c r="M281" t="s">
        <v>53</v>
      </c>
      <c r="N281" t="s">
        <v>54</v>
      </c>
      <c r="O281" t="s">
        <v>34</v>
      </c>
    </row>
    <row r="282" spans="1:15" x14ac:dyDescent="0.25">
      <c r="A282" s="1">
        <v>45317</v>
      </c>
      <c r="B282" t="s">
        <v>21</v>
      </c>
      <c r="C282" t="s">
        <v>17</v>
      </c>
      <c r="D282" t="s">
        <v>24</v>
      </c>
      <c r="E282" t="s">
        <v>18</v>
      </c>
      <c r="F282" s="2">
        <v>51.69</v>
      </c>
      <c r="G282" s="2">
        <v>120</v>
      </c>
      <c r="H282">
        <v>7</v>
      </c>
      <c r="I282" t="s">
        <v>19</v>
      </c>
      <c r="J282">
        <v>5.5</v>
      </c>
      <c r="K282" s="3">
        <f t="shared" si="8"/>
        <v>68.31</v>
      </c>
      <c r="L282" s="2">
        <f t="shared" si="9"/>
        <v>13.662000000000001</v>
      </c>
      <c r="M282" t="s">
        <v>55</v>
      </c>
      <c r="N282" t="s">
        <v>56</v>
      </c>
      <c r="O282" t="s">
        <v>35</v>
      </c>
    </row>
    <row r="283" spans="1:15" x14ac:dyDescent="0.25">
      <c r="A283" s="1">
        <v>45317</v>
      </c>
      <c r="B283" t="s">
        <v>11</v>
      </c>
      <c r="C283" t="s">
        <v>17</v>
      </c>
      <c r="D283" t="s">
        <v>13</v>
      </c>
      <c r="E283" t="s">
        <v>20</v>
      </c>
      <c r="F283" s="2">
        <v>51.54</v>
      </c>
      <c r="G283" s="2">
        <v>120</v>
      </c>
      <c r="H283">
        <v>5</v>
      </c>
      <c r="I283" t="s">
        <v>19</v>
      </c>
      <c r="J283">
        <v>4.2</v>
      </c>
      <c r="K283" s="3">
        <f t="shared" si="8"/>
        <v>68.460000000000008</v>
      </c>
      <c r="L283" s="2">
        <f t="shared" si="9"/>
        <v>13.692000000000002</v>
      </c>
      <c r="M283" t="s">
        <v>57</v>
      </c>
      <c r="N283" t="s">
        <v>58</v>
      </c>
      <c r="O283" t="s">
        <v>36</v>
      </c>
    </row>
    <row r="284" spans="1:15" x14ac:dyDescent="0.25">
      <c r="A284" s="1">
        <v>45317</v>
      </c>
      <c r="B284" t="s">
        <v>11</v>
      </c>
      <c r="C284" t="s">
        <v>17</v>
      </c>
      <c r="D284" t="s">
        <v>13</v>
      </c>
      <c r="E284" t="s">
        <v>14</v>
      </c>
      <c r="F284" s="2">
        <v>96.68</v>
      </c>
      <c r="G284" s="2">
        <v>120</v>
      </c>
      <c r="H284">
        <v>3</v>
      </c>
      <c r="I284" t="s">
        <v>22</v>
      </c>
      <c r="J284">
        <v>6.4</v>
      </c>
      <c r="K284" s="3">
        <f t="shared" si="8"/>
        <v>23.319999999999993</v>
      </c>
      <c r="L284" s="2">
        <f t="shared" si="9"/>
        <v>4.6639999999999988</v>
      </c>
      <c r="M284" t="s">
        <v>59</v>
      </c>
      <c r="N284" t="s">
        <v>60</v>
      </c>
      <c r="O284" t="s">
        <v>37</v>
      </c>
    </row>
    <row r="285" spans="1:15" x14ac:dyDescent="0.25">
      <c r="A285" s="1">
        <v>45317</v>
      </c>
      <c r="B285" t="s">
        <v>16</v>
      </c>
      <c r="C285" t="s">
        <v>12</v>
      </c>
      <c r="D285" t="s">
        <v>24</v>
      </c>
      <c r="E285" t="s">
        <v>26</v>
      </c>
      <c r="F285" s="2">
        <v>33.81</v>
      </c>
      <c r="G285" s="2">
        <v>120</v>
      </c>
      <c r="H285">
        <v>3</v>
      </c>
      <c r="I285" t="s">
        <v>22</v>
      </c>
      <c r="J285">
        <v>7.3</v>
      </c>
      <c r="K285" s="3">
        <f t="shared" si="8"/>
        <v>86.19</v>
      </c>
      <c r="L285" s="2">
        <f t="shared" si="9"/>
        <v>17.238</v>
      </c>
      <c r="M285" t="s">
        <v>59</v>
      </c>
      <c r="N285" t="s">
        <v>61</v>
      </c>
      <c r="O285" t="s">
        <v>38</v>
      </c>
    </row>
    <row r="286" spans="1:15" x14ac:dyDescent="0.25">
      <c r="A286" s="1">
        <v>45317</v>
      </c>
      <c r="B286" t="s">
        <v>21</v>
      </c>
      <c r="C286" t="s">
        <v>17</v>
      </c>
      <c r="D286" t="s">
        <v>24</v>
      </c>
      <c r="E286" t="s">
        <v>23</v>
      </c>
      <c r="F286" s="2">
        <v>21.32</v>
      </c>
      <c r="G286" s="2">
        <v>120</v>
      </c>
      <c r="H286">
        <v>1</v>
      </c>
      <c r="I286" t="s">
        <v>19</v>
      </c>
      <c r="J286">
        <v>5.9</v>
      </c>
      <c r="K286" s="3">
        <f t="shared" si="8"/>
        <v>98.68</v>
      </c>
      <c r="L286" s="2">
        <f t="shared" si="9"/>
        <v>19.736000000000004</v>
      </c>
      <c r="M286" t="s">
        <v>62</v>
      </c>
      <c r="N286" t="s">
        <v>63</v>
      </c>
      <c r="O286" t="s">
        <v>28</v>
      </c>
    </row>
    <row r="287" spans="1:15" x14ac:dyDescent="0.25">
      <c r="A287" s="1">
        <v>45317</v>
      </c>
      <c r="B287" t="s">
        <v>16</v>
      </c>
      <c r="C287" t="s">
        <v>17</v>
      </c>
      <c r="D287" t="s">
        <v>13</v>
      </c>
      <c r="E287" t="s">
        <v>20</v>
      </c>
      <c r="F287" s="2">
        <v>44.86</v>
      </c>
      <c r="G287" s="2">
        <v>120</v>
      </c>
      <c r="H287">
        <v>10</v>
      </c>
      <c r="I287" t="s">
        <v>22</v>
      </c>
      <c r="J287">
        <v>8.1999999999999993</v>
      </c>
      <c r="K287" s="3">
        <f t="shared" si="8"/>
        <v>75.14</v>
      </c>
      <c r="L287" s="2">
        <f t="shared" si="9"/>
        <v>15.028</v>
      </c>
      <c r="M287" t="s">
        <v>64</v>
      </c>
      <c r="N287" t="s">
        <v>65</v>
      </c>
      <c r="O287" t="s">
        <v>29</v>
      </c>
    </row>
    <row r="288" spans="1:15" x14ac:dyDescent="0.25">
      <c r="A288" s="1">
        <v>45317</v>
      </c>
      <c r="B288" t="s">
        <v>11</v>
      </c>
      <c r="C288" t="s">
        <v>17</v>
      </c>
      <c r="D288" t="s">
        <v>13</v>
      </c>
      <c r="E288" t="s">
        <v>23</v>
      </c>
      <c r="F288" s="2">
        <v>37.950000000000003</v>
      </c>
      <c r="G288" s="2">
        <v>120</v>
      </c>
      <c r="H288">
        <v>10</v>
      </c>
      <c r="I288" t="s">
        <v>19</v>
      </c>
      <c r="J288">
        <v>9.6999999999999993</v>
      </c>
      <c r="K288" s="3">
        <f t="shared" si="8"/>
        <v>82.05</v>
      </c>
      <c r="L288" s="2">
        <f t="shared" si="9"/>
        <v>16.41</v>
      </c>
      <c r="M288" t="s">
        <v>66</v>
      </c>
      <c r="N288" t="s">
        <v>67</v>
      </c>
      <c r="O288" t="s">
        <v>30</v>
      </c>
    </row>
    <row r="289" spans="1:15" x14ac:dyDescent="0.25">
      <c r="A289" s="1">
        <v>45317</v>
      </c>
      <c r="B289" t="s">
        <v>11</v>
      </c>
      <c r="C289" t="s">
        <v>17</v>
      </c>
      <c r="D289" t="s">
        <v>13</v>
      </c>
      <c r="E289" t="s">
        <v>23</v>
      </c>
      <c r="F289" s="2">
        <v>81.37</v>
      </c>
      <c r="G289" s="2">
        <v>120</v>
      </c>
      <c r="H289">
        <v>2</v>
      </c>
      <c r="I289" t="s">
        <v>19</v>
      </c>
      <c r="J289">
        <v>6.5</v>
      </c>
      <c r="K289" s="3">
        <f t="shared" si="8"/>
        <v>38.629999999999995</v>
      </c>
      <c r="L289" s="2">
        <f t="shared" si="9"/>
        <v>7.7259999999999991</v>
      </c>
      <c r="M289" t="s">
        <v>68</v>
      </c>
      <c r="N289" t="s">
        <v>69</v>
      </c>
      <c r="O289" t="s">
        <v>31</v>
      </c>
    </row>
    <row r="290" spans="1:15" x14ac:dyDescent="0.25">
      <c r="A290" s="1">
        <v>45317</v>
      </c>
      <c r="B290" t="s">
        <v>16</v>
      </c>
      <c r="C290" t="s">
        <v>17</v>
      </c>
      <c r="D290" t="s">
        <v>13</v>
      </c>
      <c r="E290" t="s">
        <v>23</v>
      </c>
      <c r="F290" s="2">
        <v>36.85</v>
      </c>
      <c r="G290" s="2">
        <v>120</v>
      </c>
      <c r="H290">
        <v>5</v>
      </c>
      <c r="I290" t="s">
        <v>19</v>
      </c>
      <c r="J290">
        <v>9.1999999999999993</v>
      </c>
      <c r="K290" s="3">
        <f t="shared" si="8"/>
        <v>83.15</v>
      </c>
      <c r="L290" s="2">
        <f t="shared" si="9"/>
        <v>16.630000000000003</v>
      </c>
      <c r="M290" t="s">
        <v>70</v>
      </c>
      <c r="N290" t="s">
        <v>67</v>
      </c>
      <c r="O290" t="s">
        <v>31</v>
      </c>
    </row>
    <row r="291" spans="1:15" x14ac:dyDescent="0.25">
      <c r="A291" s="1">
        <v>45318</v>
      </c>
      <c r="B291" t="s">
        <v>21</v>
      </c>
      <c r="C291" t="s">
        <v>12</v>
      </c>
      <c r="D291" t="s">
        <v>24</v>
      </c>
      <c r="E291" t="s">
        <v>18</v>
      </c>
      <c r="F291" s="2">
        <v>73.260000000000005</v>
      </c>
      <c r="G291" s="2">
        <v>120</v>
      </c>
      <c r="H291">
        <v>1</v>
      </c>
      <c r="I291" t="s">
        <v>22</v>
      </c>
      <c r="J291">
        <v>9.6999999999999993</v>
      </c>
      <c r="K291" s="3">
        <f t="shared" si="8"/>
        <v>46.739999999999995</v>
      </c>
      <c r="L291" s="2">
        <f t="shared" si="9"/>
        <v>9.347999999999999</v>
      </c>
      <c r="M291" t="s">
        <v>39</v>
      </c>
      <c r="N291" t="s">
        <v>40</v>
      </c>
      <c r="O291" t="s">
        <v>31</v>
      </c>
    </row>
    <row r="292" spans="1:15" x14ac:dyDescent="0.25">
      <c r="A292" s="1">
        <v>45318</v>
      </c>
      <c r="B292" t="s">
        <v>16</v>
      </c>
      <c r="C292" t="s">
        <v>12</v>
      </c>
      <c r="D292" t="s">
        <v>13</v>
      </c>
      <c r="E292" t="s">
        <v>23</v>
      </c>
      <c r="F292" s="2">
        <v>54.07</v>
      </c>
      <c r="G292" s="2">
        <v>120</v>
      </c>
      <c r="H292">
        <v>9</v>
      </c>
      <c r="I292" t="s">
        <v>22</v>
      </c>
      <c r="J292">
        <v>9.5</v>
      </c>
      <c r="K292" s="3">
        <f t="shared" si="8"/>
        <v>65.930000000000007</v>
      </c>
      <c r="L292" s="2">
        <f t="shared" si="9"/>
        <v>13.186000000000002</v>
      </c>
      <c r="M292" t="s">
        <v>41</v>
      </c>
      <c r="N292" t="s">
        <v>42</v>
      </c>
      <c r="O292" t="s">
        <v>28</v>
      </c>
    </row>
    <row r="293" spans="1:15" x14ac:dyDescent="0.25">
      <c r="A293" s="1">
        <v>45318</v>
      </c>
      <c r="B293" t="s">
        <v>16</v>
      </c>
      <c r="C293" t="s">
        <v>17</v>
      </c>
      <c r="D293" t="s">
        <v>13</v>
      </c>
      <c r="E293" t="s">
        <v>20</v>
      </c>
      <c r="F293" s="2">
        <v>14.36</v>
      </c>
      <c r="G293" s="2">
        <v>120</v>
      </c>
      <c r="H293">
        <v>10</v>
      </c>
      <c r="I293" t="s">
        <v>19</v>
      </c>
      <c r="J293">
        <v>5.4</v>
      </c>
      <c r="K293" s="3">
        <f t="shared" si="8"/>
        <v>105.64</v>
      </c>
      <c r="L293" s="2">
        <f t="shared" si="9"/>
        <v>21.128</v>
      </c>
      <c r="M293" t="s">
        <v>43</v>
      </c>
      <c r="N293" t="s">
        <v>44</v>
      </c>
      <c r="O293" t="s">
        <v>28</v>
      </c>
    </row>
    <row r="294" spans="1:15" x14ac:dyDescent="0.25">
      <c r="A294" s="1">
        <v>45318</v>
      </c>
      <c r="B294" t="s">
        <v>16</v>
      </c>
      <c r="C294" t="s">
        <v>17</v>
      </c>
      <c r="D294" t="s">
        <v>13</v>
      </c>
      <c r="E294" t="s">
        <v>14</v>
      </c>
      <c r="F294" s="2">
        <v>90.24</v>
      </c>
      <c r="G294" s="2">
        <v>120</v>
      </c>
      <c r="H294">
        <v>6</v>
      </c>
      <c r="I294" t="s">
        <v>19</v>
      </c>
      <c r="J294">
        <v>6.2</v>
      </c>
      <c r="K294" s="3">
        <f t="shared" si="8"/>
        <v>29.760000000000005</v>
      </c>
      <c r="L294" s="2">
        <f t="shared" si="9"/>
        <v>5.9520000000000017</v>
      </c>
      <c r="M294" t="s">
        <v>45</v>
      </c>
      <c r="N294" t="s">
        <v>46</v>
      </c>
      <c r="O294" t="s">
        <v>31</v>
      </c>
    </row>
    <row r="295" spans="1:15" x14ac:dyDescent="0.25">
      <c r="A295" s="1">
        <v>45318</v>
      </c>
      <c r="B295" t="s">
        <v>16</v>
      </c>
      <c r="C295" t="s">
        <v>12</v>
      </c>
      <c r="D295" t="s">
        <v>13</v>
      </c>
      <c r="E295" t="s">
        <v>18</v>
      </c>
      <c r="F295" s="2">
        <v>46.57</v>
      </c>
      <c r="G295" s="2">
        <v>120</v>
      </c>
      <c r="H295">
        <v>10</v>
      </c>
      <c r="I295" t="s">
        <v>19</v>
      </c>
      <c r="J295">
        <v>7.6</v>
      </c>
      <c r="K295" s="3">
        <f t="shared" si="8"/>
        <v>73.430000000000007</v>
      </c>
      <c r="L295" s="2">
        <f t="shared" si="9"/>
        <v>14.686000000000002</v>
      </c>
      <c r="M295" t="s">
        <v>47</v>
      </c>
      <c r="N295" t="s">
        <v>48</v>
      </c>
      <c r="O295" t="s">
        <v>29</v>
      </c>
    </row>
    <row r="296" spans="1:15" x14ac:dyDescent="0.25">
      <c r="A296" s="1">
        <v>45318</v>
      </c>
      <c r="B296" t="s">
        <v>11</v>
      </c>
      <c r="C296" t="s">
        <v>17</v>
      </c>
      <c r="D296" t="s">
        <v>13</v>
      </c>
      <c r="E296" t="s">
        <v>25</v>
      </c>
      <c r="F296" s="2">
        <v>49.01</v>
      </c>
      <c r="G296" s="2">
        <v>120</v>
      </c>
      <c r="H296">
        <v>10</v>
      </c>
      <c r="I296" t="s">
        <v>15</v>
      </c>
      <c r="J296">
        <v>4.2</v>
      </c>
      <c r="K296" s="3">
        <f t="shared" si="8"/>
        <v>70.990000000000009</v>
      </c>
      <c r="L296" s="2">
        <f t="shared" si="9"/>
        <v>14.198000000000002</v>
      </c>
      <c r="M296" t="s">
        <v>49</v>
      </c>
      <c r="N296" t="s">
        <v>50</v>
      </c>
      <c r="O296" t="s">
        <v>32</v>
      </c>
    </row>
    <row r="297" spans="1:15" x14ac:dyDescent="0.25">
      <c r="A297" s="1">
        <v>45318</v>
      </c>
      <c r="B297" t="s">
        <v>21</v>
      </c>
      <c r="C297" t="s">
        <v>12</v>
      </c>
      <c r="D297" t="s">
        <v>24</v>
      </c>
      <c r="E297" t="s">
        <v>26</v>
      </c>
      <c r="F297" s="2">
        <v>58.22</v>
      </c>
      <c r="G297" s="2">
        <v>120</v>
      </c>
      <c r="H297">
        <v>8</v>
      </c>
      <c r="I297" t="s">
        <v>22</v>
      </c>
      <c r="J297">
        <v>8.4</v>
      </c>
      <c r="K297" s="3">
        <f t="shared" si="8"/>
        <v>61.78</v>
      </c>
      <c r="L297" s="2">
        <f t="shared" si="9"/>
        <v>12.356000000000002</v>
      </c>
      <c r="M297" t="s">
        <v>51</v>
      </c>
      <c r="N297" t="s">
        <v>52</v>
      </c>
      <c r="O297" t="s">
        <v>31</v>
      </c>
    </row>
    <row r="298" spans="1:15" x14ac:dyDescent="0.25">
      <c r="A298" s="1">
        <v>45318</v>
      </c>
      <c r="B298" t="s">
        <v>21</v>
      </c>
      <c r="C298" t="s">
        <v>17</v>
      </c>
      <c r="D298" t="s">
        <v>13</v>
      </c>
      <c r="E298" t="s">
        <v>20</v>
      </c>
      <c r="F298" s="2">
        <v>32.25</v>
      </c>
      <c r="G298" s="2">
        <v>120</v>
      </c>
      <c r="H298">
        <v>5</v>
      </c>
      <c r="I298" t="s">
        <v>19</v>
      </c>
      <c r="J298">
        <v>9</v>
      </c>
      <c r="K298" s="3">
        <f t="shared" si="8"/>
        <v>87.75</v>
      </c>
      <c r="L298" s="2">
        <f t="shared" si="9"/>
        <v>17.55</v>
      </c>
      <c r="M298" t="s">
        <v>53</v>
      </c>
      <c r="N298" t="s">
        <v>54</v>
      </c>
      <c r="O298" t="s">
        <v>32</v>
      </c>
    </row>
    <row r="299" spans="1:15" x14ac:dyDescent="0.25">
      <c r="A299" s="1">
        <v>45318</v>
      </c>
      <c r="B299" t="s">
        <v>11</v>
      </c>
      <c r="C299" t="s">
        <v>12</v>
      </c>
      <c r="D299" t="s">
        <v>24</v>
      </c>
      <c r="E299" t="s">
        <v>26</v>
      </c>
      <c r="F299" s="2">
        <v>96.16</v>
      </c>
      <c r="G299" s="2">
        <v>120</v>
      </c>
      <c r="H299">
        <v>4</v>
      </c>
      <c r="I299" t="s">
        <v>15</v>
      </c>
      <c r="J299">
        <v>8.4</v>
      </c>
      <c r="K299" s="3">
        <f t="shared" si="8"/>
        <v>23.840000000000003</v>
      </c>
      <c r="L299" s="2">
        <f t="shared" si="9"/>
        <v>4.7680000000000007</v>
      </c>
      <c r="M299" t="s">
        <v>55</v>
      </c>
      <c r="N299" t="s">
        <v>56</v>
      </c>
      <c r="O299" t="s">
        <v>33</v>
      </c>
    </row>
    <row r="300" spans="1:15" x14ac:dyDescent="0.25">
      <c r="A300" s="1">
        <v>45318</v>
      </c>
      <c r="B300" t="s">
        <v>16</v>
      </c>
      <c r="C300" t="s">
        <v>17</v>
      </c>
      <c r="D300" t="s">
        <v>24</v>
      </c>
      <c r="E300" t="s">
        <v>25</v>
      </c>
      <c r="F300" s="2">
        <v>69.400000000000006</v>
      </c>
      <c r="G300" s="2">
        <v>120</v>
      </c>
      <c r="H300">
        <v>2</v>
      </c>
      <c r="I300" t="s">
        <v>22</v>
      </c>
      <c r="J300">
        <v>9</v>
      </c>
      <c r="K300" s="3">
        <f t="shared" si="8"/>
        <v>50.599999999999994</v>
      </c>
      <c r="L300" s="2">
        <f t="shared" si="9"/>
        <v>10.119999999999999</v>
      </c>
      <c r="M300" t="s">
        <v>57</v>
      </c>
      <c r="N300" t="s">
        <v>58</v>
      </c>
      <c r="O300" t="s">
        <v>34</v>
      </c>
    </row>
    <row r="301" spans="1:15" x14ac:dyDescent="0.25">
      <c r="A301" s="1">
        <v>45318</v>
      </c>
      <c r="B301" t="s">
        <v>21</v>
      </c>
      <c r="C301" t="s">
        <v>17</v>
      </c>
      <c r="D301" t="s">
        <v>13</v>
      </c>
      <c r="E301" t="s">
        <v>25</v>
      </c>
      <c r="F301" s="2">
        <v>12.03</v>
      </c>
      <c r="G301" s="2">
        <v>120</v>
      </c>
      <c r="H301">
        <v>2</v>
      </c>
      <c r="I301" t="s">
        <v>19</v>
      </c>
      <c r="J301">
        <v>5.0999999999999996</v>
      </c>
      <c r="K301" s="3">
        <f t="shared" si="8"/>
        <v>107.97</v>
      </c>
      <c r="L301" s="2">
        <f t="shared" si="9"/>
        <v>21.594000000000001</v>
      </c>
      <c r="M301" t="s">
        <v>59</v>
      </c>
      <c r="N301" t="s">
        <v>60</v>
      </c>
      <c r="O301" t="s">
        <v>35</v>
      </c>
    </row>
    <row r="302" spans="1:15" x14ac:dyDescent="0.25">
      <c r="A302" s="1">
        <v>45318</v>
      </c>
      <c r="B302" t="s">
        <v>21</v>
      </c>
      <c r="C302" t="s">
        <v>17</v>
      </c>
      <c r="D302" t="s">
        <v>24</v>
      </c>
      <c r="E302" t="s">
        <v>14</v>
      </c>
      <c r="F302" s="2">
        <v>81.709999999999994</v>
      </c>
      <c r="G302" s="2">
        <v>120</v>
      </c>
      <c r="H302">
        <v>6</v>
      </c>
      <c r="I302" t="s">
        <v>15</v>
      </c>
      <c r="J302">
        <v>8</v>
      </c>
      <c r="K302" s="3">
        <f t="shared" si="8"/>
        <v>38.290000000000006</v>
      </c>
      <c r="L302" s="2">
        <f t="shared" si="9"/>
        <v>7.6580000000000013</v>
      </c>
      <c r="M302" t="s">
        <v>59</v>
      </c>
      <c r="N302" t="s">
        <v>61</v>
      </c>
      <c r="O302" t="s">
        <v>36</v>
      </c>
    </row>
    <row r="303" spans="1:15" x14ac:dyDescent="0.25">
      <c r="A303" s="1">
        <v>45318</v>
      </c>
      <c r="B303" t="s">
        <v>16</v>
      </c>
      <c r="C303" t="s">
        <v>12</v>
      </c>
      <c r="D303" t="s">
        <v>13</v>
      </c>
      <c r="E303" t="s">
        <v>25</v>
      </c>
      <c r="F303" s="2">
        <v>24.24</v>
      </c>
      <c r="G303" s="2">
        <v>120</v>
      </c>
      <c r="H303">
        <v>7</v>
      </c>
      <c r="I303" t="s">
        <v>22</v>
      </c>
      <c r="J303">
        <v>9.4</v>
      </c>
      <c r="K303" s="3">
        <f t="shared" si="8"/>
        <v>95.76</v>
      </c>
      <c r="L303" s="2">
        <f t="shared" si="9"/>
        <v>19.152000000000001</v>
      </c>
      <c r="M303" t="s">
        <v>62</v>
      </c>
      <c r="N303" t="s">
        <v>63</v>
      </c>
      <c r="O303" t="s">
        <v>37</v>
      </c>
    </row>
    <row r="304" spans="1:15" x14ac:dyDescent="0.25">
      <c r="A304" s="1">
        <v>45318</v>
      </c>
      <c r="B304" t="s">
        <v>21</v>
      </c>
      <c r="C304" t="s">
        <v>17</v>
      </c>
      <c r="D304" t="s">
        <v>13</v>
      </c>
      <c r="E304" t="s">
        <v>23</v>
      </c>
      <c r="F304" s="2">
        <v>54.28</v>
      </c>
      <c r="G304" s="2">
        <v>120</v>
      </c>
      <c r="H304">
        <v>7</v>
      </c>
      <c r="I304" t="s">
        <v>22</v>
      </c>
      <c r="J304">
        <v>9.3000000000000007</v>
      </c>
      <c r="K304" s="3">
        <f t="shared" si="8"/>
        <v>65.72</v>
      </c>
      <c r="L304" s="2">
        <f t="shared" si="9"/>
        <v>13.144</v>
      </c>
      <c r="M304" t="s">
        <v>64</v>
      </c>
      <c r="N304" t="s">
        <v>65</v>
      </c>
      <c r="O304" t="s">
        <v>38</v>
      </c>
    </row>
    <row r="305" spans="1:15" x14ac:dyDescent="0.25">
      <c r="A305" s="1">
        <v>45319</v>
      </c>
      <c r="B305" t="s">
        <v>16</v>
      </c>
      <c r="C305" t="s">
        <v>17</v>
      </c>
      <c r="D305" t="s">
        <v>13</v>
      </c>
      <c r="E305" t="s">
        <v>25</v>
      </c>
      <c r="F305" s="2">
        <v>69.81</v>
      </c>
      <c r="G305" s="2">
        <v>120</v>
      </c>
      <c r="H305">
        <v>4</v>
      </c>
      <c r="I305" t="s">
        <v>15</v>
      </c>
      <c r="J305">
        <v>5.9</v>
      </c>
      <c r="K305" s="3">
        <f t="shared" si="8"/>
        <v>50.19</v>
      </c>
      <c r="L305" s="2">
        <f t="shared" si="9"/>
        <v>10.038</v>
      </c>
      <c r="M305" t="s">
        <v>66</v>
      </c>
      <c r="N305" t="s">
        <v>67</v>
      </c>
      <c r="O305" t="s">
        <v>28</v>
      </c>
    </row>
    <row r="306" spans="1:15" x14ac:dyDescent="0.25">
      <c r="A306" s="1">
        <v>45319</v>
      </c>
      <c r="B306" t="s">
        <v>11</v>
      </c>
      <c r="C306" t="s">
        <v>17</v>
      </c>
      <c r="D306" t="s">
        <v>24</v>
      </c>
      <c r="E306" t="s">
        <v>26</v>
      </c>
      <c r="F306" s="2">
        <v>99.16</v>
      </c>
      <c r="G306" s="2">
        <v>120</v>
      </c>
      <c r="H306">
        <v>8</v>
      </c>
      <c r="I306" t="s">
        <v>15</v>
      </c>
      <c r="J306">
        <v>4.2</v>
      </c>
      <c r="K306" s="3">
        <f t="shared" si="8"/>
        <v>20.840000000000003</v>
      </c>
      <c r="L306" s="2">
        <f t="shared" si="9"/>
        <v>4.168000000000001</v>
      </c>
      <c r="M306" t="s">
        <v>68</v>
      </c>
      <c r="N306" t="s">
        <v>69</v>
      </c>
      <c r="O306" t="s">
        <v>29</v>
      </c>
    </row>
    <row r="307" spans="1:15" x14ac:dyDescent="0.25">
      <c r="A307" s="1">
        <v>45319</v>
      </c>
      <c r="B307" t="s">
        <v>11</v>
      </c>
      <c r="C307" t="s">
        <v>12</v>
      </c>
      <c r="D307" t="s">
        <v>13</v>
      </c>
      <c r="E307" t="s">
        <v>26</v>
      </c>
      <c r="F307" s="2">
        <v>19.149999999999999</v>
      </c>
      <c r="G307" s="2">
        <v>120</v>
      </c>
      <c r="H307">
        <v>1</v>
      </c>
      <c r="I307" t="s">
        <v>15</v>
      </c>
      <c r="J307">
        <v>9.5</v>
      </c>
      <c r="K307" s="3">
        <f t="shared" si="8"/>
        <v>100.85</v>
      </c>
      <c r="L307" s="2">
        <f t="shared" si="9"/>
        <v>20.170000000000002</v>
      </c>
      <c r="M307" t="s">
        <v>70</v>
      </c>
      <c r="N307" t="s">
        <v>67</v>
      </c>
      <c r="O307" t="s">
        <v>30</v>
      </c>
    </row>
    <row r="308" spans="1:15" x14ac:dyDescent="0.25">
      <c r="A308" s="1">
        <v>45319</v>
      </c>
      <c r="B308" t="s">
        <v>16</v>
      </c>
      <c r="C308" t="s">
        <v>17</v>
      </c>
      <c r="D308" t="s">
        <v>13</v>
      </c>
      <c r="E308" t="s">
        <v>20</v>
      </c>
      <c r="F308" s="2">
        <v>80.97</v>
      </c>
      <c r="G308" s="2">
        <v>120</v>
      </c>
      <c r="H308">
        <v>8</v>
      </c>
      <c r="I308" t="s">
        <v>19</v>
      </c>
      <c r="J308">
        <v>9.3000000000000007</v>
      </c>
      <c r="K308" s="3">
        <f t="shared" si="8"/>
        <v>39.03</v>
      </c>
      <c r="L308" s="2">
        <f t="shared" si="9"/>
        <v>7.8060000000000009</v>
      </c>
      <c r="M308" t="s">
        <v>39</v>
      </c>
      <c r="N308" t="s">
        <v>40</v>
      </c>
      <c r="O308" t="s">
        <v>31</v>
      </c>
    </row>
    <row r="309" spans="1:15" x14ac:dyDescent="0.25">
      <c r="A309" s="1">
        <v>45319</v>
      </c>
      <c r="B309" t="s">
        <v>21</v>
      </c>
      <c r="C309" t="s">
        <v>17</v>
      </c>
      <c r="D309" t="s">
        <v>24</v>
      </c>
      <c r="E309" t="s">
        <v>14</v>
      </c>
      <c r="F309" s="2">
        <v>11.53</v>
      </c>
      <c r="G309" s="2">
        <v>120</v>
      </c>
      <c r="H309">
        <v>7</v>
      </c>
      <c r="I309" t="s">
        <v>19</v>
      </c>
      <c r="J309">
        <v>8.1</v>
      </c>
      <c r="K309" s="3">
        <f t="shared" si="8"/>
        <v>108.47</v>
      </c>
      <c r="L309" s="2">
        <f t="shared" si="9"/>
        <v>21.694000000000003</v>
      </c>
      <c r="M309" t="s">
        <v>41</v>
      </c>
      <c r="N309" t="s">
        <v>42</v>
      </c>
      <c r="O309" t="s">
        <v>31</v>
      </c>
    </row>
    <row r="310" spans="1:15" x14ac:dyDescent="0.25">
      <c r="A310" s="1">
        <v>45319</v>
      </c>
      <c r="B310" t="s">
        <v>16</v>
      </c>
      <c r="C310" t="s">
        <v>17</v>
      </c>
      <c r="D310" t="s">
        <v>13</v>
      </c>
      <c r="E310" t="s">
        <v>23</v>
      </c>
      <c r="F310" s="2">
        <v>23.82</v>
      </c>
      <c r="G310" s="2">
        <v>120</v>
      </c>
      <c r="H310">
        <v>5</v>
      </c>
      <c r="I310" t="s">
        <v>22</v>
      </c>
      <c r="J310">
        <v>5.4</v>
      </c>
      <c r="K310" s="3">
        <f t="shared" si="8"/>
        <v>96.18</v>
      </c>
      <c r="L310" s="2">
        <f t="shared" si="9"/>
        <v>19.236000000000004</v>
      </c>
      <c r="M310" t="s">
        <v>43</v>
      </c>
      <c r="N310" t="s">
        <v>44</v>
      </c>
      <c r="O310" t="s">
        <v>31</v>
      </c>
    </row>
    <row r="311" spans="1:15" x14ac:dyDescent="0.25">
      <c r="A311" s="1">
        <v>45319</v>
      </c>
      <c r="B311" t="s">
        <v>11</v>
      </c>
      <c r="C311" t="s">
        <v>12</v>
      </c>
      <c r="D311" t="s">
        <v>13</v>
      </c>
      <c r="E311" t="s">
        <v>18</v>
      </c>
      <c r="F311" s="2">
        <v>21.43</v>
      </c>
      <c r="G311" s="2">
        <v>120</v>
      </c>
      <c r="H311">
        <v>10</v>
      </c>
      <c r="I311" t="s">
        <v>19</v>
      </c>
      <c r="J311">
        <v>6.2</v>
      </c>
      <c r="K311" s="3">
        <f t="shared" si="8"/>
        <v>98.57</v>
      </c>
      <c r="L311" s="2">
        <f t="shared" si="9"/>
        <v>19.713999999999999</v>
      </c>
      <c r="M311" t="s">
        <v>45</v>
      </c>
      <c r="N311" t="s">
        <v>46</v>
      </c>
      <c r="O311" t="s">
        <v>28</v>
      </c>
    </row>
    <row r="312" spans="1:15" x14ac:dyDescent="0.25">
      <c r="A312" s="1">
        <v>45319</v>
      </c>
      <c r="B312" t="s">
        <v>16</v>
      </c>
      <c r="C312" t="s">
        <v>17</v>
      </c>
      <c r="D312" t="s">
        <v>24</v>
      </c>
      <c r="E312" t="s">
        <v>26</v>
      </c>
      <c r="F312" s="2">
        <v>17.41</v>
      </c>
      <c r="G312" s="2">
        <v>120</v>
      </c>
      <c r="H312">
        <v>5</v>
      </c>
      <c r="I312" t="s">
        <v>15</v>
      </c>
      <c r="J312">
        <v>4.9000000000000004</v>
      </c>
      <c r="K312" s="3">
        <f t="shared" si="8"/>
        <v>102.59</v>
      </c>
      <c r="L312" s="2">
        <f t="shared" si="9"/>
        <v>20.518000000000001</v>
      </c>
      <c r="M312" t="s">
        <v>47</v>
      </c>
      <c r="N312" t="s">
        <v>48</v>
      </c>
      <c r="O312" t="s">
        <v>28</v>
      </c>
    </row>
    <row r="313" spans="1:15" x14ac:dyDescent="0.25">
      <c r="A313" s="1">
        <v>45319</v>
      </c>
      <c r="B313" t="s">
        <v>11</v>
      </c>
      <c r="C313" t="s">
        <v>12</v>
      </c>
      <c r="D313" t="s">
        <v>24</v>
      </c>
      <c r="E313" t="s">
        <v>20</v>
      </c>
      <c r="F313" s="2">
        <v>78.069999999999993</v>
      </c>
      <c r="G313" s="2">
        <v>120</v>
      </c>
      <c r="H313">
        <v>9</v>
      </c>
      <c r="I313" t="s">
        <v>19</v>
      </c>
      <c r="J313">
        <v>4.5</v>
      </c>
      <c r="K313" s="3">
        <f t="shared" si="8"/>
        <v>41.930000000000007</v>
      </c>
      <c r="L313" s="2">
        <f t="shared" si="9"/>
        <v>8.386000000000001</v>
      </c>
      <c r="M313" t="s">
        <v>49</v>
      </c>
      <c r="N313" t="s">
        <v>50</v>
      </c>
      <c r="O313" t="s">
        <v>31</v>
      </c>
    </row>
    <row r="314" spans="1:15" x14ac:dyDescent="0.25">
      <c r="A314" s="1">
        <v>45319</v>
      </c>
      <c r="B314" t="s">
        <v>11</v>
      </c>
      <c r="C314" t="s">
        <v>12</v>
      </c>
      <c r="D314" t="s">
        <v>24</v>
      </c>
      <c r="E314" t="s">
        <v>26</v>
      </c>
      <c r="F314" s="2">
        <v>75.37</v>
      </c>
      <c r="G314" s="2">
        <v>120</v>
      </c>
      <c r="H314">
        <v>8</v>
      </c>
      <c r="I314" t="s">
        <v>15</v>
      </c>
      <c r="J314">
        <v>8.4</v>
      </c>
      <c r="K314" s="3">
        <f t="shared" si="8"/>
        <v>44.629999999999995</v>
      </c>
      <c r="L314" s="2">
        <f t="shared" si="9"/>
        <v>8.9260000000000002</v>
      </c>
      <c r="M314" t="s">
        <v>51</v>
      </c>
      <c r="N314" t="s">
        <v>52</v>
      </c>
      <c r="O314" t="s">
        <v>29</v>
      </c>
    </row>
    <row r="315" spans="1:15" x14ac:dyDescent="0.25">
      <c r="A315" s="1">
        <v>45319</v>
      </c>
      <c r="B315" t="s">
        <v>16</v>
      </c>
      <c r="C315" t="s">
        <v>12</v>
      </c>
      <c r="D315" t="s">
        <v>24</v>
      </c>
      <c r="E315" t="s">
        <v>18</v>
      </c>
      <c r="F315" s="2">
        <v>18.77</v>
      </c>
      <c r="G315" s="2">
        <v>120</v>
      </c>
      <c r="H315">
        <v>6</v>
      </c>
      <c r="I315" t="s">
        <v>15</v>
      </c>
      <c r="J315">
        <v>5.5</v>
      </c>
      <c r="K315" s="3">
        <f t="shared" si="8"/>
        <v>101.23</v>
      </c>
      <c r="L315" s="2">
        <f t="shared" si="9"/>
        <v>20.246000000000002</v>
      </c>
      <c r="M315" t="s">
        <v>53</v>
      </c>
      <c r="N315" t="s">
        <v>54</v>
      </c>
      <c r="O315" t="s">
        <v>32</v>
      </c>
    </row>
    <row r="316" spans="1:15" x14ac:dyDescent="0.25">
      <c r="A316" s="1">
        <v>45319</v>
      </c>
      <c r="B316" t="s">
        <v>11</v>
      </c>
      <c r="C316" t="s">
        <v>12</v>
      </c>
      <c r="D316" t="s">
        <v>13</v>
      </c>
      <c r="E316" t="s">
        <v>26</v>
      </c>
      <c r="F316" s="2">
        <v>72.11</v>
      </c>
      <c r="G316" s="2">
        <v>120</v>
      </c>
      <c r="H316">
        <v>9</v>
      </c>
      <c r="I316" t="s">
        <v>15</v>
      </c>
      <c r="J316">
        <v>7.7</v>
      </c>
      <c r="K316" s="3">
        <f t="shared" si="8"/>
        <v>47.89</v>
      </c>
      <c r="L316" s="2">
        <f t="shared" si="9"/>
        <v>9.5780000000000012</v>
      </c>
      <c r="M316" t="s">
        <v>55</v>
      </c>
      <c r="N316" t="s">
        <v>56</v>
      </c>
      <c r="O316" t="s">
        <v>31</v>
      </c>
    </row>
    <row r="317" spans="1:15" x14ac:dyDescent="0.25">
      <c r="A317" s="1">
        <v>45319</v>
      </c>
      <c r="B317" t="s">
        <v>21</v>
      </c>
      <c r="C317" t="s">
        <v>12</v>
      </c>
      <c r="D317" t="s">
        <v>24</v>
      </c>
      <c r="E317" t="s">
        <v>18</v>
      </c>
      <c r="F317" s="2">
        <v>24.18</v>
      </c>
      <c r="G317" s="2">
        <v>120</v>
      </c>
      <c r="H317">
        <v>8</v>
      </c>
      <c r="I317" t="s">
        <v>22</v>
      </c>
      <c r="J317">
        <v>9.8000000000000007</v>
      </c>
      <c r="K317" s="3">
        <f t="shared" si="8"/>
        <v>95.82</v>
      </c>
      <c r="L317" s="2">
        <f t="shared" si="9"/>
        <v>19.163999999999998</v>
      </c>
      <c r="M317" t="s">
        <v>57</v>
      </c>
      <c r="N317" t="s">
        <v>58</v>
      </c>
      <c r="O317" t="s">
        <v>32</v>
      </c>
    </row>
    <row r="318" spans="1:15" x14ac:dyDescent="0.25">
      <c r="A318" s="1">
        <v>45319</v>
      </c>
      <c r="B318" t="s">
        <v>16</v>
      </c>
      <c r="C318" t="s">
        <v>12</v>
      </c>
      <c r="D318" t="s">
        <v>24</v>
      </c>
      <c r="E318" t="s">
        <v>26</v>
      </c>
      <c r="F318" s="2">
        <v>86.8</v>
      </c>
      <c r="G318" s="2">
        <v>120</v>
      </c>
      <c r="H318">
        <v>3</v>
      </c>
      <c r="I318" t="s">
        <v>22</v>
      </c>
      <c r="J318">
        <v>9.9</v>
      </c>
      <c r="K318" s="3">
        <f t="shared" si="8"/>
        <v>33.200000000000003</v>
      </c>
      <c r="L318" s="2">
        <f t="shared" si="9"/>
        <v>6.6400000000000006</v>
      </c>
      <c r="M318" t="s">
        <v>59</v>
      </c>
      <c r="N318" t="s">
        <v>60</v>
      </c>
      <c r="O318" t="s">
        <v>33</v>
      </c>
    </row>
    <row r="319" spans="1:15" x14ac:dyDescent="0.25">
      <c r="A319" s="1">
        <v>45320</v>
      </c>
      <c r="B319" t="s">
        <v>11</v>
      </c>
      <c r="C319" t="s">
        <v>12</v>
      </c>
      <c r="D319" t="s">
        <v>24</v>
      </c>
      <c r="E319" t="s">
        <v>23</v>
      </c>
      <c r="F319" s="2">
        <v>32.619999999999997</v>
      </c>
      <c r="G319" s="2">
        <v>120</v>
      </c>
      <c r="H319">
        <v>4</v>
      </c>
      <c r="I319" t="s">
        <v>19</v>
      </c>
      <c r="J319">
        <v>9</v>
      </c>
      <c r="K319" s="3">
        <f t="shared" si="8"/>
        <v>87.38</v>
      </c>
      <c r="L319" s="2">
        <f t="shared" si="9"/>
        <v>17.475999999999999</v>
      </c>
      <c r="M319" t="s">
        <v>59</v>
      </c>
      <c r="N319" t="s">
        <v>61</v>
      </c>
      <c r="O319" t="s">
        <v>34</v>
      </c>
    </row>
    <row r="320" spans="1:15" x14ac:dyDescent="0.25">
      <c r="A320" s="1">
        <v>45320</v>
      </c>
      <c r="B320" t="s">
        <v>16</v>
      </c>
      <c r="C320" t="s">
        <v>17</v>
      </c>
      <c r="D320" t="s">
        <v>24</v>
      </c>
      <c r="E320" t="s">
        <v>18</v>
      </c>
      <c r="F320" s="2">
        <v>58.76</v>
      </c>
      <c r="G320" s="2">
        <v>120</v>
      </c>
      <c r="H320">
        <v>10</v>
      </c>
      <c r="I320" t="s">
        <v>22</v>
      </c>
      <c r="J320">
        <v>9</v>
      </c>
      <c r="K320" s="3">
        <f t="shared" si="8"/>
        <v>61.24</v>
      </c>
      <c r="L320" s="2">
        <f t="shared" si="9"/>
        <v>12.248000000000001</v>
      </c>
      <c r="M320" t="s">
        <v>62</v>
      </c>
      <c r="N320" t="s">
        <v>63</v>
      </c>
      <c r="O320" t="s">
        <v>35</v>
      </c>
    </row>
    <row r="321" spans="1:15" x14ac:dyDescent="0.25">
      <c r="A321" s="1">
        <v>45320</v>
      </c>
      <c r="B321" t="s">
        <v>21</v>
      </c>
      <c r="C321" t="s">
        <v>12</v>
      </c>
      <c r="D321" t="s">
        <v>13</v>
      </c>
      <c r="E321" t="s">
        <v>20</v>
      </c>
      <c r="F321" s="2">
        <v>22.01</v>
      </c>
      <c r="G321" s="2">
        <v>120</v>
      </c>
      <c r="H321">
        <v>4</v>
      </c>
      <c r="I321" t="s">
        <v>15</v>
      </c>
      <c r="J321">
        <v>6.6</v>
      </c>
      <c r="K321" s="3">
        <f t="shared" si="8"/>
        <v>97.99</v>
      </c>
      <c r="L321" s="2">
        <f t="shared" si="9"/>
        <v>19.597999999999999</v>
      </c>
      <c r="M321" t="s">
        <v>64</v>
      </c>
      <c r="N321" t="s">
        <v>65</v>
      </c>
      <c r="O321" t="s">
        <v>36</v>
      </c>
    </row>
    <row r="322" spans="1:15" x14ac:dyDescent="0.25">
      <c r="A322" s="1">
        <v>45320</v>
      </c>
      <c r="B322" t="s">
        <v>21</v>
      </c>
      <c r="C322" t="s">
        <v>17</v>
      </c>
      <c r="D322" t="s">
        <v>24</v>
      </c>
      <c r="E322" t="s">
        <v>18</v>
      </c>
      <c r="F322" s="2">
        <v>38.6</v>
      </c>
      <c r="G322" s="2">
        <v>120</v>
      </c>
      <c r="H322">
        <v>1</v>
      </c>
      <c r="I322" t="s">
        <v>22</v>
      </c>
      <c r="J322">
        <v>6.7</v>
      </c>
      <c r="K322" s="3">
        <f t="shared" ref="K322:K385" si="10">G322-F322</f>
        <v>81.400000000000006</v>
      </c>
      <c r="L322" s="2">
        <f t="shared" ref="L322:L385" si="11">IF(G322&gt;30,K322*0.2,G322*0.1)</f>
        <v>16.28</v>
      </c>
      <c r="M322" t="s">
        <v>66</v>
      </c>
      <c r="N322" t="s">
        <v>67</v>
      </c>
      <c r="O322" t="s">
        <v>37</v>
      </c>
    </row>
    <row r="323" spans="1:15" x14ac:dyDescent="0.25">
      <c r="A323" s="1">
        <v>45320</v>
      </c>
      <c r="B323" t="s">
        <v>16</v>
      </c>
      <c r="C323" t="s">
        <v>17</v>
      </c>
      <c r="D323" t="s">
        <v>24</v>
      </c>
      <c r="E323" t="s">
        <v>26</v>
      </c>
      <c r="F323" s="2">
        <v>40.35</v>
      </c>
      <c r="G323" s="2">
        <v>120</v>
      </c>
      <c r="H323">
        <v>1</v>
      </c>
      <c r="I323" t="s">
        <v>22</v>
      </c>
      <c r="J323">
        <v>6.2</v>
      </c>
      <c r="K323" s="3">
        <f t="shared" si="10"/>
        <v>79.650000000000006</v>
      </c>
      <c r="L323" s="2">
        <f t="shared" si="11"/>
        <v>15.930000000000001</v>
      </c>
      <c r="M323" t="s">
        <v>68</v>
      </c>
      <c r="N323" t="s">
        <v>69</v>
      </c>
      <c r="O323" t="s">
        <v>38</v>
      </c>
    </row>
    <row r="324" spans="1:15" x14ac:dyDescent="0.25">
      <c r="A324" s="1">
        <v>45320</v>
      </c>
      <c r="B324" t="s">
        <v>21</v>
      </c>
      <c r="C324" t="s">
        <v>12</v>
      </c>
      <c r="D324" t="s">
        <v>13</v>
      </c>
      <c r="E324" t="s">
        <v>20</v>
      </c>
      <c r="F324" s="2">
        <v>27.93</v>
      </c>
      <c r="G324" s="2">
        <v>120</v>
      </c>
      <c r="H324">
        <v>5</v>
      </c>
      <c r="I324" t="s">
        <v>19</v>
      </c>
      <c r="J324">
        <v>5.9</v>
      </c>
      <c r="K324" s="3">
        <f t="shared" si="10"/>
        <v>92.07</v>
      </c>
      <c r="L324" s="2">
        <f t="shared" si="11"/>
        <v>18.413999999999998</v>
      </c>
      <c r="M324" t="s">
        <v>70</v>
      </c>
      <c r="N324" t="s">
        <v>67</v>
      </c>
      <c r="O324" t="s">
        <v>28</v>
      </c>
    </row>
    <row r="325" spans="1:15" x14ac:dyDescent="0.25">
      <c r="A325" s="1">
        <v>45320</v>
      </c>
      <c r="B325" t="s">
        <v>16</v>
      </c>
      <c r="C325" t="s">
        <v>17</v>
      </c>
      <c r="D325" t="s">
        <v>24</v>
      </c>
      <c r="E325" t="s">
        <v>23</v>
      </c>
      <c r="F325" s="2">
        <v>42.08</v>
      </c>
      <c r="G325" s="2">
        <v>120</v>
      </c>
      <c r="H325">
        <v>6</v>
      </c>
      <c r="I325" t="s">
        <v>19</v>
      </c>
      <c r="J325">
        <v>8.9</v>
      </c>
      <c r="K325" s="3">
        <f t="shared" si="10"/>
        <v>77.92</v>
      </c>
      <c r="L325" s="2">
        <f t="shared" si="11"/>
        <v>15.584000000000001</v>
      </c>
      <c r="M325" t="s">
        <v>39</v>
      </c>
      <c r="N325" t="s">
        <v>40</v>
      </c>
      <c r="O325" t="s">
        <v>29</v>
      </c>
    </row>
    <row r="326" spans="1:15" x14ac:dyDescent="0.25">
      <c r="A326" s="1">
        <v>45320</v>
      </c>
      <c r="B326" t="s">
        <v>11</v>
      </c>
      <c r="C326" t="s">
        <v>17</v>
      </c>
      <c r="D326" t="s">
        <v>13</v>
      </c>
      <c r="E326" t="s">
        <v>14</v>
      </c>
      <c r="F326" s="2">
        <v>84.05</v>
      </c>
      <c r="G326" s="2">
        <v>120</v>
      </c>
      <c r="H326">
        <v>6</v>
      </c>
      <c r="I326" t="s">
        <v>15</v>
      </c>
      <c r="J326">
        <v>7.7</v>
      </c>
      <c r="K326" s="3">
        <f t="shared" si="10"/>
        <v>35.950000000000003</v>
      </c>
      <c r="L326" s="2">
        <f t="shared" si="11"/>
        <v>7.1900000000000013</v>
      </c>
      <c r="M326" t="s">
        <v>41</v>
      </c>
      <c r="N326" t="s">
        <v>42</v>
      </c>
      <c r="O326" t="s">
        <v>30</v>
      </c>
    </row>
    <row r="327" spans="1:15" x14ac:dyDescent="0.25">
      <c r="A327" s="1">
        <v>45320</v>
      </c>
      <c r="B327" t="s">
        <v>16</v>
      </c>
      <c r="C327" t="s">
        <v>12</v>
      </c>
      <c r="D327" t="s">
        <v>13</v>
      </c>
      <c r="E327" t="s">
        <v>20</v>
      </c>
      <c r="F327" s="2">
        <v>19.149999999999999</v>
      </c>
      <c r="G327" s="2">
        <v>120</v>
      </c>
      <c r="H327">
        <v>6</v>
      </c>
      <c r="I327" t="s">
        <v>15</v>
      </c>
      <c r="J327">
        <v>6.8</v>
      </c>
      <c r="K327" s="3">
        <f t="shared" si="10"/>
        <v>100.85</v>
      </c>
      <c r="L327" s="2">
        <f t="shared" si="11"/>
        <v>20.170000000000002</v>
      </c>
      <c r="M327" t="s">
        <v>43</v>
      </c>
      <c r="N327" t="s">
        <v>44</v>
      </c>
      <c r="O327" t="s">
        <v>31</v>
      </c>
    </row>
    <row r="328" spans="1:15" x14ac:dyDescent="0.25">
      <c r="A328" s="1">
        <v>45320</v>
      </c>
      <c r="B328" t="s">
        <v>11</v>
      </c>
      <c r="C328" t="s">
        <v>12</v>
      </c>
      <c r="D328" t="s">
        <v>24</v>
      </c>
      <c r="E328" t="s">
        <v>20</v>
      </c>
      <c r="F328" s="2">
        <v>26.67</v>
      </c>
      <c r="G328" s="2">
        <v>120</v>
      </c>
      <c r="H328">
        <v>10</v>
      </c>
      <c r="I328" t="s">
        <v>19</v>
      </c>
      <c r="J328">
        <v>8.6</v>
      </c>
      <c r="K328" s="3">
        <f t="shared" si="10"/>
        <v>93.33</v>
      </c>
      <c r="L328" s="2">
        <f t="shared" si="11"/>
        <v>18.666</v>
      </c>
      <c r="M328" t="s">
        <v>45</v>
      </c>
      <c r="N328" t="s">
        <v>46</v>
      </c>
      <c r="O328" t="s">
        <v>31</v>
      </c>
    </row>
    <row r="329" spans="1:15" x14ac:dyDescent="0.25">
      <c r="A329" s="1">
        <v>45320</v>
      </c>
      <c r="B329" t="s">
        <v>21</v>
      </c>
      <c r="C329" t="s">
        <v>12</v>
      </c>
      <c r="D329" t="s">
        <v>13</v>
      </c>
      <c r="E329" t="s">
        <v>25</v>
      </c>
      <c r="F329" s="2">
        <v>87.37</v>
      </c>
      <c r="G329" s="2">
        <v>120</v>
      </c>
      <c r="H329">
        <v>5</v>
      </c>
      <c r="I329" t="s">
        <v>19</v>
      </c>
      <c r="J329">
        <v>6.6</v>
      </c>
      <c r="K329" s="3">
        <f t="shared" si="10"/>
        <v>32.629999999999995</v>
      </c>
      <c r="L329" s="2">
        <f t="shared" si="11"/>
        <v>6.5259999999999998</v>
      </c>
      <c r="M329" t="s">
        <v>47</v>
      </c>
      <c r="N329" t="s">
        <v>48</v>
      </c>
      <c r="O329" t="s">
        <v>31</v>
      </c>
    </row>
    <row r="330" spans="1:15" x14ac:dyDescent="0.25">
      <c r="A330" s="1">
        <v>45320</v>
      </c>
      <c r="B330" t="s">
        <v>21</v>
      </c>
      <c r="C330" t="s">
        <v>17</v>
      </c>
      <c r="D330" t="s">
        <v>24</v>
      </c>
      <c r="E330" t="s">
        <v>23</v>
      </c>
      <c r="F330" s="2">
        <v>83.24</v>
      </c>
      <c r="G330" s="2">
        <v>120</v>
      </c>
      <c r="H330">
        <v>9</v>
      </c>
      <c r="I330" t="s">
        <v>15</v>
      </c>
      <c r="J330">
        <v>7.4</v>
      </c>
      <c r="K330" s="3">
        <f t="shared" si="10"/>
        <v>36.760000000000005</v>
      </c>
      <c r="L330" s="2">
        <f t="shared" si="11"/>
        <v>7.3520000000000012</v>
      </c>
      <c r="M330" t="s">
        <v>49</v>
      </c>
      <c r="N330" t="s">
        <v>50</v>
      </c>
      <c r="O330" t="s">
        <v>28</v>
      </c>
    </row>
    <row r="331" spans="1:15" x14ac:dyDescent="0.25">
      <c r="A331" s="1">
        <v>45321</v>
      </c>
      <c r="B331" t="s">
        <v>16</v>
      </c>
      <c r="C331" t="s">
        <v>17</v>
      </c>
      <c r="D331" t="s">
        <v>24</v>
      </c>
      <c r="E331" t="s">
        <v>25</v>
      </c>
      <c r="F331" s="2">
        <v>22.96</v>
      </c>
      <c r="G331" s="2">
        <v>120</v>
      </c>
      <c r="H331">
        <v>1</v>
      </c>
      <c r="I331" t="s">
        <v>19</v>
      </c>
      <c r="J331">
        <v>4.3</v>
      </c>
      <c r="K331" s="3">
        <f t="shared" si="10"/>
        <v>97.039999999999992</v>
      </c>
      <c r="L331" s="2">
        <f t="shared" si="11"/>
        <v>19.408000000000001</v>
      </c>
      <c r="M331" t="s">
        <v>51</v>
      </c>
      <c r="N331" t="s">
        <v>52</v>
      </c>
      <c r="O331" t="s">
        <v>28</v>
      </c>
    </row>
    <row r="332" spans="1:15" x14ac:dyDescent="0.25">
      <c r="A332" s="1">
        <v>45321</v>
      </c>
      <c r="B332" t="s">
        <v>11</v>
      </c>
      <c r="C332" t="s">
        <v>17</v>
      </c>
      <c r="D332" t="s">
        <v>13</v>
      </c>
      <c r="E332" t="s">
        <v>18</v>
      </c>
      <c r="F332" s="2">
        <v>23.65</v>
      </c>
      <c r="G332" s="2">
        <v>120</v>
      </c>
      <c r="H332">
        <v>4</v>
      </c>
      <c r="I332" t="s">
        <v>15</v>
      </c>
      <c r="J332">
        <v>4</v>
      </c>
      <c r="K332" s="3">
        <f t="shared" si="10"/>
        <v>96.35</v>
      </c>
      <c r="L332" s="2">
        <f t="shared" si="11"/>
        <v>19.27</v>
      </c>
      <c r="M332" t="s">
        <v>53</v>
      </c>
      <c r="N332" t="s">
        <v>54</v>
      </c>
      <c r="O332" t="s">
        <v>31</v>
      </c>
    </row>
    <row r="333" spans="1:15" x14ac:dyDescent="0.25">
      <c r="A333" s="1">
        <v>45321</v>
      </c>
      <c r="B333" t="s">
        <v>21</v>
      </c>
      <c r="C333" t="s">
        <v>12</v>
      </c>
      <c r="D333" t="s">
        <v>24</v>
      </c>
      <c r="E333" t="s">
        <v>18</v>
      </c>
      <c r="F333" s="2">
        <v>93.78</v>
      </c>
      <c r="G333" s="2">
        <v>120</v>
      </c>
      <c r="H333">
        <v>3</v>
      </c>
      <c r="I333" t="s">
        <v>15</v>
      </c>
      <c r="J333">
        <v>5.9</v>
      </c>
      <c r="K333" s="3">
        <f t="shared" si="10"/>
        <v>26.22</v>
      </c>
      <c r="L333" s="2">
        <f t="shared" si="11"/>
        <v>5.2439999999999998</v>
      </c>
      <c r="M333" t="s">
        <v>55</v>
      </c>
      <c r="N333" t="s">
        <v>56</v>
      </c>
      <c r="O333" t="s">
        <v>29</v>
      </c>
    </row>
    <row r="334" spans="1:15" x14ac:dyDescent="0.25">
      <c r="A334" s="1">
        <v>45321</v>
      </c>
      <c r="B334" t="s">
        <v>16</v>
      </c>
      <c r="C334" t="s">
        <v>12</v>
      </c>
      <c r="D334" t="s">
        <v>13</v>
      </c>
      <c r="E334" t="s">
        <v>14</v>
      </c>
      <c r="F334" s="2">
        <v>98.52</v>
      </c>
      <c r="G334" s="2">
        <v>120</v>
      </c>
      <c r="H334">
        <v>10</v>
      </c>
      <c r="I334" t="s">
        <v>22</v>
      </c>
      <c r="J334">
        <v>4.5</v>
      </c>
      <c r="K334" s="3">
        <f t="shared" si="10"/>
        <v>21.480000000000004</v>
      </c>
      <c r="L334" s="2">
        <f t="shared" si="11"/>
        <v>4.2960000000000012</v>
      </c>
      <c r="M334" t="s">
        <v>57</v>
      </c>
      <c r="N334" t="s">
        <v>58</v>
      </c>
      <c r="O334" t="s">
        <v>32</v>
      </c>
    </row>
    <row r="335" spans="1:15" x14ac:dyDescent="0.25">
      <c r="A335" s="1">
        <v>45321</v>
      </c>
      <c r="B335" t="s">
        <v>16</v>
      </c>
      <c r="C335" t="s">
        <v>17</v>
      </c>
      <c r="D335" t="s">
        <v>13</v>
      </c>
      <c r="E335" t="s">
        <v>20</v>
      </c>
      <c r="F335" s="2">
        <v>22.38</v>
      </c>
      <c r="G335" s="2">
        <v>120</v>
      </c>
      <c r="H335">
        <v>1</v>
      </c>
      <c r="I335" t="s">
        <v>15</v>
      </c>
      <c r="J335">
        <v>8.6</v>
      </c>
      <c r="K335" s="3">
        <f t="shared" si="10"/>
        <v>97.62</v>
      </c>
      <c r="L335" s="2">
        <f t="shared" si="11"/>
        <v>19.524000000000001</v>
      </c>
      <c r="M335" t="s">
        <v>59</v>
      </c>
      <c r="N335" t="s">
        <v>60</v>
      </c>
      <c r="O335" t="s">
        <v>31</v>
      </c>
    </row>
    <row r="336" spans="1:15" x14ac:dyDescent="0.25">
      <c r="A336" s="1">
        <v>45321</v>
      </c>
      <c r="B336" t="s">
        <v>16</v>
      </c>
      <c r="C336" t="s">
        <v>17</v>
      </c>
      <c r="D336" t="s">
        <v>13</v>
      </c>
      <c r="E336" t="s">
        <v>14</v>
      </c>
      <c r="F336" s="2">
        <v>97.03</v>
      </c>
      <c r="G336" s="2">
        <v>120</v>
      </c>
      <c r="H336">
        <v>5</v>
      </c>
      <c r="I336" t="s">
        <v>22</v>
      </c>
      <c r="J336">
        <v>9.3000000000000007</v>
      </c>
      <c r="K336" s="3">
        <f t="shared" si="10"/>
        <v>22.97</v>
      </c>
      <c r="L336" s="2">
        <f t="shared" si="11"/>
        <v>4.5940000000000003</v>
      </c>
      <c r="M336" t="s">
        <v>59</v>
      </c>
      <c r="N336" t="s">
        <v>61</v>
      </c>
      <c r="O336" t="s">
        <v>32</v>
      </c>
    </row>
    <row r="337" spans="1:15" x14ac:dyDescent="0.25">
      <c r="A337" s="1">
        <v>45321</v>
      </c>
      <c r="B337" t="s">
        <v>16</v>
      </c>
      <c r="C337" t="s">
        <v>12</v>
      </c>
      <c r="D337" t="s">
        <v>13</v>
      </c>
      <c r="E337" t="s">
        <v>25</v>
      </c>
      <c r="F337" s="2">
        <v>10.53</v>
      </c>
      <c r="G337" s="2">
        <v>120</v>
      </c>
      <c r="H337">
        <v>5</v>
      </c>
      <c r="I337" t="s">
        <v>15</v>
      </c>
      <c r="J337">
        <v>5.8</v>
      </c>
      <c r="K337" s="3">
        <f t="shared" si="10"/>
        <v>109.47</v>
      </c>
      <c r="L337" s="2">
        <f t="shared" si="11"/>
        <v>21.894000000000002</v>
      </c>
      <c r="M337" t="s">
        <v>62</v>
      </c>
      <c r="N337" t="s">
        <v>63</v>
      </c>
      <c r="O337" t="s">
        <v>33</v>
      </c>
    </row>
    <row r="338" spans="1:15" x14ac:dyDescent="0.25">
      <c r="A338" s="1">
        <v>45321</v>
      </c>
      <c r="B338" t="s">
        <v>16</v>
      </c>
      <c r="C338" t="s">
        <v>17</v>
      </c>
      <c r="D338" t="s">
        <v>24</v>
      </c>
      <c r="E338" t="s">
        <v>20</v>
      </c>
      <c r="F338" s="2">
        <v>76.400000000000006</v>
      </c>
      <c r="G338" s="2">
        <v>120</v>
      </c>
      <c r="H338">
        <v>2</v>
      </c>
      <c r="I338" t="s">
        <v>22</v>
      </c>
      <c r="J338">
        <v>6.5</v>
      </c>
      <c r="K338" s="3">
        <f t="shared" si="10"/>
        <v>43.599999999999994</v>
      </c>
      <c r="L338" s="2">
        <f t="shared" si="11"/>
        <v>8.7199999999999989</v>
      </c>
      <c r="M338" t="s">
        <v>64</v>
      </c>
      <c r="N338" t="s">
        <v>65</v>
      </c>
      <c r="O338" t="s">
        <v>34</v>
      </c>
    </row>
    <row r="339" spans="1:15" x14ac:dyDescent="0.25">
      <c r="A339" s="1">
        <v>45321</v>
      </c>
      <c r="B339" t="s">
        <v>11</v>
      </c>
      <c r="C339" t="s">
        <v>17</v>
      </c>
      <c r="D339" t="s">
        <v>13</v>
      </c>
      <c r="E339" t="s">
        <v>18</v>
      </c>
      <c r="F339" s="2">
        <v>42.42</v>
      </c>
      <c r="G339" s="2">
        <v>120</v>
      </c>
      <c r="H339">
        <v>8</v>
      </c>
      <c r="I339" t="s">
        <v>22</v>
      </c>
      <c r="J339">
        <v>5.7</v>
      </c>
      <c r="K339" s="3">
        <f t="shared" si="10"/>
        <v>77.58</v>
      </c>
      <c r="L339" s="2">
        <f t="shared" si="11"/>
        <v>15.516</v>
      </c>
      <c r="M339" t="s">
        <v>66</v>
      </c>
      <c r="N339" t="s">
        <v>67</v>
      </c>
      <c r="O339" t="s">
        <v>35</v>
      </c>
    </row>
    <row r="340" spans="1:15" x14ac:dyDescent="0.25">
      <c r="A340" s="1">
        <v>45322</v>
      </c>
      <c r="B340" t="s">
        <v>16</v>
      </c>
      <c r="C340" t="s">
        <v>17</v>
      </c>
      <c r="D340" t="s">
        <v>13</v>
      </c>
      <c r="E340" t="s">
        <v>20</v>
      </c>
      <c r="F340" s="2">
        <v>23.75</v>
      </c>
      <c r="G340" s="2">
        <v>120</v>
      </c>
      <c r="H340">
        <v>9</v>
      </c>
      <c r="I340" t="s">
        <v>19</v>
      </c>
      <c r="J340">
        <v>9.5</v>
      </c>
      <c r="K340" s="3">
        <f t="shared" si="10"/>
        <v>96.25</v>
      </c>
      <c r="L340" s="2">
        <f t="shared" si="11"/>
        <v>19.25</v>
      </c>
      <c r="M340" t="s">
        <v>68</v>
      </c>
      <c r="N340" t="s">
        <v>69</v>
      </c>
      <c r="O340" t="s">
        <v>36</v>
      </c>
    </row>
    <row r="341" spans="1:15" x14ac:dyDescent="0.25">
      <c r="A341" s="1">
        <v>45322</v>
      </c>
      <c r="B341" t="s">
        <v>21</v>
      </c>
      <c r="C341" t="s">
        <v>12</v>
      </c>
      <c r="D341" t="s">
        <v>24</v>
      </c>
      <c r="E341" t="s">
        <v>18</v>
      </c>
      <c r="F341" s="2">
        <v>20.77</v>
      </c>
      <c r="G341" s="2">
        <v>120</v>
      </c>
      <c r="H341">
        <v>4</v>
      </c>
      <c r="I341" t="s">
        <v>19</v>
      </c>
      <c r="J341">
        <v>4.7</v>
      </c>
      <c r="K341" s="3">
        <f t="shared" si="10"/>
        <v>99.23</v>
      </c>
      <c r="L341" s="2">
        <f t="shared" si="11"/>
        <v>19.846000000000004</v>
      </c>
      <c r="M341" t="s">
        <v>70</v>
      </c>
      <c r="N341" t="s">
        <v>67</v>
      </c>
      <c r="O341" t="s">
        <v>37</v>
      </c>
    </row>
    <row r="342" spans="1:15" x14ac:dyDescent="0.25">
      <c r="A342" s="1">
        <v>45322</v>
      </c>
      <c r="B342" t="s">
        <v>16</v>
      </c>
      <c r="C342" t="s">
        <v>12</v>
      </c>
      <c r="D342" t="s">
        <v>24</v>
      </c>
      <c r="E342" t="s">
        <v>23</v>
      </c>
      <c r="F342" s="2">
        <v>98.7</v>
      </c>
      <c r="G342" s="2">
        <v>120</v>
      </c>
      <c r="H342">
        <v>8</v>
      </c>
      <c r="I342" t="s">
        <v>22</v>
      </c>
      <c r="J342">
        <v>8.5</v>
      </c>
      <c r="K342" s="3">
        <f t="shared" si="10"/>
        <v>21.299999999999997</v>
      </c>
      <c r="L342" s="2">
        <f t="shared" si="11"/>
        <v>4.26</v>
      </c>
      <c r="M342" t="s">
        <v>39</v>
      </c>
      <c r="N342" t="s">
        <v>40</v>
      </c>
      <c r="O342" t="s">
        <v>38</v>
      </c>
    </row>
    <row r="343" spans="1:15" x14ac:dyDescent="0.25">
      <c r="A343" s="1">
        <v>45322</v>
      </c>
      <c r="B343" t="s">
        <v>11</v>
      </c>
      <c r="C343" t="s">
        <v>17</v>
      </c>
      <c r="D343" t="s">
        <v>13</v>
      </c>
      <c r="E343" t="s">
        <v>18</v>
      </c>
      <c r="F343" s="2">
        <v>43</v>
      </c>
      <c r="G343" s="2">
        <v>120</v>
      </c>
      <c r="H343">
        <v>4</v>
      </c>
      <c r="I343" t="s">
        <v>22</v>
      </c>
      <c r="J343">
        <v>7.6</v>
      </c>
      <c r="K343" s="3">
        <f t="shared" si="10"/>
        <v>77</v>
      </c>
      <c r="L343" s="2">
        <f t="shared" si="11"/>
        <v>15.4</v>
      </c>
      <c r="M343" t="s">
        <v>41</v>
      </c>
      <c r="N343" t="s">
        <v>42</v>
      </c>
      <c r="O343" t="s">
        <v>28</v>
      </c>
    </row>
    <row r="344" spans="1:15" x14ac:dyDescent="0.25">
      <c r="A344" s="1">
        <v>45322</v>
      </c>
      <c r="B344" t="s">
        <v>11</v>
      </c>
      <c r="C344" t="s">
        <v>17</v>
      </c>
      <c r="D344" t="s">
        <v>24</v>
      </c>
      <c r="E344" t="s">
        <v>18</v>
      </c>
      <c r="F344" s="2">
        <v>72.13</v>
      </c>
      <c r="G344" s="2">
        <v>120</v>
      </c>
      <c r="H344">
        <v>10</v>
      </c>
      <c r="I344" t="s">
        <v>15</v>
      </c>
      <c r="J344">
        <v>4.2</v>
      </c>
      <c r="K344" s="3">
        <f t="shared" si="10"/>
        <v>47.870000000000005</v>
      </c>
      <c r="L344" s="2">
        <f t="shared" si="11"/>
        <v>9.5740000000000016</v>
      </c>
      <c r="M344" t="s">
        <v>43</v>
      </c>
      <c r="N344" t="s">
        <v>44</v>
      </c>
      <c r="O344" t="s">
        <v>29</v>
      </c>
    </row>
    <row r="345" spans="1:15" x14ac:dyDescent="0.25">
      <c r="A345" s="1">
        <v>45322</v>
      </c>
      <c r="B345" t="s">
        <v>21</v>
      </c>
      <c r="C345" t="s">
        <v>12</v>
      </c>
      <c r="D345" t="s">
        <v>24</v>
      </c>
      <c r="E345" t="s">
        <v>23</v>
      </c>
      <c r="F345" s="2">
        <v>51.34</v>
      </c>
      <c r="G345" s="2">
        <v>120</v>
      </c>
      <c r="H345">
        <v>8</v>
      </c>
      <c r="I345" t="s">
        <v>22</v>
      </c>
      <c r="J345">
        <v>7.6</v>
      </c>
      <c r="K345" s="3">
        <f t="shared" si="10"/>
        <v>68.66</v>
      </c>
      <c r="L345" s="2">
        <f t="shared" si="11"/>
        <v>13.731999999999999</v>
      </c>
      <c r="M345" t="s">
        <v>45</v>
      </c>
      <c r="N345" t="s">
        <v>46</v>
      </c>
      <c r="O345" t="s">
        <v>30</v>
      </c>
    </row>
    <row r="346" spans="1:15" x14ac:dyDescent="0.25">
      <c r="A346" s="1">
        <v>45322</v>
      </c>
      <c r="B346" t="s">
        <v>11</v>
      </c>
      <c r="C346" t="s">
        <v>12</v>
      </c>
      <c r="D346" t="s">
        <v>24</v>
      </c>
      <c r="E346" t="s">
        <v>20</v>
      </c>
      <c r="F346" s="2">
        <v>75.819999999999993</v>
      </c>
      <c r="G346" s="2">
        <v>120</v>
      </c>
      <c r="H346">
        <v>1</v>
      </c>
      <c r="I346" t="s">
        <v>19</v>
      </c>
      <c r="J346">
        <v>5.8</v>
      </c>
      <c r="K346" s="3">
        <f t="shared" si="10"/>
        <v>44.180000000000007</v>
      </c>
      <c r="L346" s="2">
        <f t="shared" si="11"/>
        <v>8.8360000000000021</v>
      </c>
      <c r="M346" t="s">
        <v>47</v>
      </c>
      <c r="N346" t="s">
        <v>48</v>
      </c>
      <c r="O346" t="s">
        <v>31</v>
      </c>
    </row>
    <row r="347" spans="1:15" x14ac:dyDescent="0.25">
      <c r="A347" s="1">
        <v>45322</v>
      </c>
      <c r="B347" t="s">
        <v>16</v>
      </c>
      <c r="C347" t="s">
        <v>17</v>
      </c>
      <c r="D347" t="s">
        <v>13</v>
      </c>
      <c r="E347" t="s">
        <v>23</v>
      </c>
      <c r="F347" s="2">
        <v>62.18</v>
      </c>
      <c r="G347" s="2">
        <v>120</v>
      </c>
      <c r="H347">
        <v>10</v>
      </c>
      <c r="I347" t="s">
        <v>22</v>
      </c>
      <c r="J347">
        <v>6</v>
      </c>
      <c r="K347" s="3">
        <f t="shared" si="10"/>
        <v>57.82</v>
      </c>
      <c r="L347" s="2">
        <f t="shared" si="11"/>
        <v>11.564</v>
      </c>
      <c r="M347" t="s">
        <v>49</v>
      </c>
      <c r="N347" t="s">
        <v>50</v>
      </c>
      <c r="O347" t="s">
        <v>31</v>
      </c>
    </row>
    <row r="348" spans="1:15" x14ac:dyDescent="0.25">
      <c r="A348" s="1">
        <v>45322</v>
      </c>
      <c r="B348" t="s">
        <v>16</v>
      </c>
      <c r="C348" t="s">
        <v>12</v>
      </c>
      <c r="D348" t="s">
        <v>24</v>
      </c>
      <c r="E348" t="s">
        <v>18</v>
      </c>
      <c r="F348" s="2">
        <v>37.06</v>
      </c>
      <c r="G348" s="2">
        <v>120</v>
      </c>
      <c r="H348">
        <v>4</v>
      </c>
      <c r="I348" t="s">
        <v>22</v>
      </c>
      <c r="J348">
        <v>9.6999999999999993</v>
      </c>
      <c r="K348" s="3">
        <f t="shared" si="10"/>
        <v>82.94</v>
      </c>
      <c r="L348" s="2">
        <f t="shared" si="11"/>
        <v>16.588000000000001</v>
      </c>
      <c r="M348" t="s">
        <v>51</v>
      </c>
      <c r="N348" t="s">
        <v>52</v>
      </c>
      <c r="O348" t="s">
        <v>31</v>
      </c>
    </row>
    <row r="349" spans="1:15" x14ac:dyDescent="0.25">
      <c r="A349" s="1">
        <v>45322</v>
      </c>
      <c r="B349" t="s">
        <v>11</v>
      </c>
      <c r="C349" t="s">
        <v>12</v>
      </c>
      <c r="D349" t="s">
        <v>24</v>
      </c>
      <c r="E349" t="s">
        <v>20</v>
      </c>
      <c r="F349" s="2">
        <v>79.930000000000007</v>
      </c>
      <c r="G349" s="2">
        <v>120</v>
      </c>
      <c r="H349">
        <v>6</v>
      </c>
      <c r="I349" t="s">
        <v>19</v>
      </c>
      <c r="J349">
        <v>5.5</v>
      </c>
      <c r="K349" s="3">
        <f t="shared" si="10"/>
        <v>40.069999999999993</v>
      </c>
      <c r="L349" s="2">
        <f t="shared" si="11"/>
        <v>8.0139999999999993</v>
      </c>
      <c r="M349" t="s">
        <v>53</v>
      </c>
      <c r="N349" t="s">
        <v>54</v>
      </c>
      <c r="O349" t="s">
        <v>28</v>
      </c>
    </row>
    <row r="350" spans="1:15" x14ac:dyDescent="0.25">
      <c r="A350" s="1">
        <v>45322</v>
      </c>
      <c r="B350" t="s">
        <v>11</v>
      </c>
      <c r="C350" t="s">
        <v>12</v>
      </c>
      <c r="D350" t="s">
        <v>24</v>
      </c>
      <c r="E350" t="s">
        <v>18</v>
      </c>
      <c r="F350" s="2">
        <v>87.87</v>
      </c>
      <c r="G350" s="2">
        <v>120</v>
      </c>
      <c r="H350">
        <v>9</v>
      </c>
      <c r="I350" t="s">
        <v>22</v>
      </c>
      <c r="J350">
        <v>5.6</v>
      </c>
      <c r="K350" s="3">
        <f t="shared" si="10"/>
        <v>32.129999999999995</v>
      </c>
      <c r="L350" s="2">
        <f t="shared" si="11"/>
        <v>6.4259999999999993</v>
      </c>
      <c r="M350" t="s">
        <v>55</v>
      </c>
      <c r="N350" t="s">
        <v>56</v>
      </c>
      <c r="O350" t="s">
        <v>28</v>
      </c>
    </row>
    <row r="351" spans="1:15" x14ac:dyDescent="0.25">
      <c r="A351" s="1">
        <v>45322</v>
      </c>
      <c r="B351" t="s">
        <v>11</v>
      </c>
      <c r="C351" t="s">
        <v>17</v>
      </c>
      <c r="D351" t="s">
        <v>24</v>
      </c>
      <c r="E351" t="s">
        <v>23</v>
      </c>
      <c r="F351" s="2">
        <v>69.08</v>
      </c>
      <c r="G351" s="2">
        <v>120</v>
      </c>
      <c r="H351">
        <v>2</v>
      </c>
      <c r="I351" t="s">
        <v>15</v>
      </c>
      <c r="J351">
        <v>6.9</v>
      </c>
      <c r="K351" s="3">
        <f t="shared" si="10"/>
        <v>50.92</v>
      </c>
      <c r="L351" s="2">
        <f t="shared" si="11"/>
        <v>10.184000000000001</v>
      </c>
      <c r="M351" t="s">
        <v>57</v>
      </c>
      <c r="N351" t="s">
        <v>58</v>
      </c>
      <c r="O351" t="s">
        <v>31</v>
      </c>
    </row>
    <row r="352" spans="1:15" x14ac:dyDescent="0.25">
      <c r="A352" s="1">
        <v>45322</v>
      </c>
      <c r="B352" t="s">
        <v>11</v>
      </c>
      <c r="C352" t="s">
        <v>17</v>
      </c>
      <c r="D352" t="s">
        <v>24</v>
      </c>
      <c r="E352" t="s">
        <v>18</v>
      </c>
      <c r="F352" s="2">
        <v>45.35</v>
      </c>
      <c r="G352" s="2">
        <v>120</v>
      </c>
      <c r="H352">
        <v>6</v>
      </c>
      <c r="I352" t="s">
        <v>22</v>
      </c>
      <c r="J352">
        <v>6.1</v>
      </c>
      <c r="K352" s="3">
        <f t="shared" si="10"/>
        <v>74.650000000000006</v>
      </c>
      <c r="L352" s="2">
        <f t="shared" si="11"/>
        <v>14.930000000000001</v>
      </c>
      <c r="M352" t="s">
        <v>59</v>
      </c>
      <c r="N352" t="s">
        <v>60</v>
      </c>
      <c r="O352" t="s">
        <v>29</v>
      </c>
    </row>
    <row r="353" spans="1:15" x14ac:dyDescent="0.25">
      <c r="A353" s="1">
        <v>45322</v>
      </c>
      <c r="B353" t="s">
        <v>21</v>
      </c>
      <c r="C353" t="s">
        <v>12</v>
      </c>
      <c r="D353" t="s">
        <v>24</v>
      </c>
      <c r="E353" t="s">
        <v>18</v>
      </c>
      <c r="F353" s="2">
        <v>66.349999999999994</v>
      </c>
      <c r="G353" s="2">
        <v>120</v>
      </c>
      <c r="H353">
        <v>1</v>
      </c>
      <c r="I353" t="s">
        <v>15</v>
      </c>
      <c r="J353">
        <v>9.6999999999999993</v>
      </c>
      <c r="K353" s="3">
        <f t="shared" si="10"/>
        <v>53.650000000000006</v>
      </c>
      <c r="L353" s="2">
        <f t="shared" si="11"/>
        <v>10.730000000000002</v>
      </c>
      <c r="M353" t="s">
        <v>59</v>
      </c>
      <c r="N353" t="s">
        <v>61</v>
      </c>
      <c r="O353" t="s">
        <v>32</v>
      </c>
    </row>
    <row r="354" spans="1:15" x14ac:dyDescent="0.25">
      <c r="A354" s="1">
        <v>45323</v>
      </c>
      <c r="B354" t="s">
        <v>16</v>
      </c>
      <c r="C354" t="s">
        <v>12</v>
      </c>
      <c r="D354" t="s">
        <v>13</v>
      </c>
      <c r="E354" t="s">
        <v>14</v>
      </c>
      <c r="F354" s="2">
        <v>87.48</v>
      </c>
      <c r="G354" s="2">
        <v>120</v>
      </c>
      <c r="H354">
        <v>6</v>
      </c>
      <c r="I354" t="s">
        <v>22</v>
      </c>
      <c r="J354">
        <v>5.0999999999999996</v>
      </c>
      <c r="K354" s="3">
        <f t="shared" si="10"/>
        <v>32.519999999999996</v>
      </c>
      <c r="L354" s="2">
        <f t="shared" si="11"/>
        <v>6.5039999999999996</v>
      </c>
      <c r="M354" t="s">
        <v>62</v>
      </c>
      <c r="N354" t="s">
        <v>63</v>
      </c>
      <c r="O354" t="s">
        <v>31</v>
      </c>
    </row>
    <row r="355" spans="1:15" x14ac:dyDescent="0.25">
      <c r="A355" s="1">
        <v>45323</v>
      </c>
      <c r="B355" t="s">
        <v>21</v>
      </c>
      <c r="C355" t="s">
        <v>12</v>
      </c>
      <c r="D355" t="s">
        <v>13</v>
      </c>
      <c r="E355" t="s">
        <v>14</v>
      </c>
      <c r="F355" s="2">
        <v>14.23</v>
      </c>
      <c r="G355" s="2">
        <v>120</v>
      </c>
      <c r="H355">
        <v>5</v>
      </c>
      <c r="I355" t="s">
        <v>15</v>
      </c>
      <c r="J355">
        <v>4.4000000000000004</v>
      </c>
      <c r="K355" s="3">
        <f t="shared" si="10"/>
        <v>105.77</v>
      </c>
      <c r="L355" s="2">
        <f t="shared" si="11"/>
        <v>21.154</v>
      </c>
      <c r="M355" t="s">
        <v>64</v>
      </c>
      <c r="N355" t="s">
        <v>65</v>
      </c>
      <c r="O355" t="s">
        <v>32</v>
      </c>
    </row>
    <row r="356" spans="1:15" x14ac:dyDescent="0.25">
      <c r="A356" s="1">
        <v>45323</v>
      </c>
      <c r="B356" t="s">
        <v>21</v>
      </c>
      <c r="C356" t="s">
        <v>12</v>
      </c>
      <c r="D356" t="s">
        <v>24</v>
      </c>
      <c r="E356" t="s">
        <v>20</v>
      </c>
      <c r="F356" s="2">
        <v>69.52</v>
      </c>
      <c r="G356" s="2">
        <v>120</v>
      </c>
      <c r="H356">
        <v>7</v>
      </c>
      <c r="I356" t="s">
        <v>15</v>
      </c>
      <c r="J356">
        <v>8.5</v>
      </c>
      <c r="K356" s="3">
        <f t="shared" si="10"/>
        <v>50.480000000000004</v>
      </c>
      <c r="L356" s="2">
        <f t="shared" si="11"/>
        <v>10.096000000000002</v>
      </c>
      <c r="M356" t="s">
        <v>66</v>
      </c>
      <c r="N356" t="s">
        <v>67</v>
      </c>
      <c r="O356" t="s">
        <v>33</v>
      </c>
    </row>
    <row r="357" spans="1:15" x14ac:dyDescent="0.25">
      <c r="A357" s="1">
        <v>45323</v>
      </c>
      <c r="B357" t="s">
        <v>16</v>
      </c>
      <c r="C357" t="s">
        <v>17</v>
      </c>
      <c r="D357" t="s">
        <v>13</v>
      </c>
      <c r="E357" t="s">
        <v>18</v>
      </c>
      <c r="F357" s="2">
        <v>23.07</v>
      </c>
      <c r="G357" s="2">
        <v>120</v>
      </c>
      <c r="H357">
        <v>9</v>
      </c>
      <c r="I357" t="s">
        <v>19</v>
      </c>
      <c r="J357">
        <v>4.9000000000000004</v>
      </c>
      <c r="K357" s="3">
        <f t="shared" si="10"/>
        <v>96.93</v>
      </c>
      <c r="L357" s="2">
        <f t="shared" si="11"/>
        <v>19.386000000000003</v>
      </c>
      <c r="M357" t="s">
        <v>68</v>
      </c>
      <c r="N357" t="s">
        <v>69</v>
      </c>
      <c r="O357" t="s">
        <v>34</v>
      </c>
    </row>
    <row r="358" spans="1:15" x14ac:dyDescent="0.25">
      <c r="A358" s="1">
        <v>45323</v>
      </c>
      <c r="B358" t="s">
        <v>16</v>
      </c>
      <c r="C358" t="s">
        <v>12</v>
      </c>
      <c r="D358" t="s">
        <v>13</v>
      </c>
      <c r="E358" t="s">
        <v>25</v>
      </c>
      <c r="F358" s="2">
        <v>80.790000000000006</v>
      </c>
      <c r="G358" s="2">
        <v>120</v>
      </c>
      <c r="H358">
        <v>9</v>
      </c>
      <c r="I358" t="s">
        <v>15</v>
      </c>
      <c r="J358">
        <v>9.5</v>
      </c>
      <c r="K358" s="3">
        <f t="shared" si="10"/>
        <v>39.209999999999994</v>
      </c>
      <c r="L358" s="2">
        <f t="shared" si="11"/>
        <v>7.8419999999999987</v>
      </c>
      <c r="M358" t="s">
        <v>70</v>
      </c>
      <c r="N358" t="s">
        <v>67</v>
      </c>
      <c r="O358" t="s">
        <v>35</v>
      </c>
    </row>
    <row r="359" spans="1:15" x14ac:dyDescent="0.25">
      <c r="A359" s="1">
        <v>45323</v>
      </c>
      <c r="B359" t="s">
        <v>21</v>
      </c>
      <c r="C359" t="s">
        <v>12</v>
      </c>
      <c r="D359" t="s">
        <v>13</v>
      </c>
      <c r="E359" t="s">
        <v>26</v>
      </c>
      <c r="F359" s="2">
        <v>77.680000000000007</v>
      </c>
      <c r="G359" s="2">
        <v>120</v>
      </c>
      <c r="H359">
        <v>4</v>
      </c>
      <c r="I359" t="s">
        <v>19</v>
      </c>
      <c r="J359">
        <v>8.4</v>
      </c>
      <c r="K359" s="3">
        <f t="shared" si="10"/>
        <v>42.319999999999993</v>
      </c>
      <c r="L359" s="2">
        <f t="shared" si="11"/>
        <v>8.4639999999999986</v>
      </c>
      <c r="M359" t="s">
        <v>39</v>
      </c>
      <c r="N359" t="s">
        <v>40</v>
      </c>
      <c r="O359" t="s">
        <v>36</v>
      </c>
    </row>
    <row r="360" spans="1:15" x14ac:dyDescent="0.25">
      <c r="A360" s="1">
        <v>45324</v>
      </c>
      <c r="B360" t="s">
        <v>11</v>
      </c>
      <c r="C360" t="s">
        <v>12</v>
      </c>
      <c r="D360" t="s">
        <v>13</v>
      </c>
      <c r="E360" t="s">
        <v>18</v>
      </c>
      <c r="F360" s="2">
        <v>26.26</v>
      </c>
      <c r="G360" s="2">
        <v>120</v>
      </c>
      <c r="H360">
        <v>7</v>
      </c>
      <c r="I360" t="s">
        <v>19</v>
      </c>
      <c r="J360">
        <v>9.9</v>
      </c>
      <c r="K360" s="3">
        <f t="shared" si="10"/>
        <v>93.74</v>
      </c>
      <c r="L360" s="2">
        <f t="shared" si="11"/>
        <v>18.748000000000001</v>
      </c>
      <c r="M360" t="s">
        <v>41</v>
      </c>
      <c r="N360" t="s">
        <v>42</v>
      </c>
      <c r="O360" t="s">
        <v>37</v>
      </c>
    </row>
    <row r="361" spans="1:15" x14ac:dyDescent="0.25">
      <c r="A361" s="1">
        <v>45324</v>
      </c>
      <c r="B361" t="s">
        <v>21</v>
      </c>
      <c r="C361" t="s">
        <v>12</v>
      </c>
      <c r="D361" t="s">
        <v>24</v>
      </c>
      <c r="E361" t="s">
        <v>23</v>
      </c>
      <c r="F361" s="2">
        <v>43.13</v>
      </c>
      <c r="G361" s="2">
        <v>120</v>
      </c>
      <c r="H361">
        <v>10</v>
      </c>
      <c r="I361" t="s">
        <v>15</v>
      </c>
      <c r="J361">
        <v>5.5</v>
      </c>
      <c r="K361" s="3">
        <f t="shared" si="10"/>
        <v>76.87</v>
      </c>
      <c r="L361" s="2">
        <f t="shared" si="11"/>
        <v>15.374000000000002</v>
      </c>
      <c r="M361" t="s">
        <v>43</v>
      </c>
      <c r="N361" t="s">
        <v>44</v>
      </c>
      <c r="O361" t="s">
        <v>38</v>
      </c>
    </row>
    <row r="362" spans="1:15" x14ac:dyDescent="0.25">
      <c r="A362" s="1">
        <v>45324</v>
      </c>
      <c r="B362" t="s">
        <v>11</v>
      </c>
      <c r="C362" t="s">
        <v>17</v>
      </c>
      <c r="D362" t="s">
        <v>13</v>
      </c>
      <c r="E362" t="s">
        <v>23</v>
      </c>
      <c r="F362" s="2">
        <v>25.56</v>
      </c>
      <c r="G362" s="2">
        <v>120</v>
      </c>
      <c r="H362">
        <v>7</v>
      </c>
      <c r="I362" t="s">
        <v>19</v>
      </c>
      <c r="J362">
        <v>7.1</v>
      </c>
      <c r="K362" s="3">
        <f t="shared" si="10"/>
        <v>94.44</v>
      </c>
      <c r="L362" s="2">
        <f t="shared" si="11"/>
        <v>18.888000000000002</v>
      </c>
      <c r="M362" t="s">
        <v>45</v>
      </c>
      <c r="N362" t="s">
        <v>46</v>
      </c>
      <c r="O362" t="s">
        <v>28</v>
      </c>
    </row>
    <row r="363" spans="1:15" x14ac:dyDescent="0.25">
      <c r="A363" s="1">
        <v>45324</v>
      </c>
      <c r="B363" t="s">
        <v>16</v>
      </c>
      <c r="C363" t="s">
        <v>12</v>
      </c>
      <c r="D363" t="s">
        <v>13</v>
      </c>
      <c r="E363" t="s">
        <v>14</v>
      </c>
      <c r="F363" s="2">
        <v>38.42</v>
      </c>
      <c r="G363" s="2">
        <v>120</v>
      </c>
      <c r="H363">
        <v>1</v>
      </c>
      <c r="I363" t="s">
        <v>19</v>
      </c>
      <c r="J363">
        <v>8.6</v>
      </c>
      <c r="K363" s="3">
        <f t="shared" si="10"/>
        <v>81.58</v>
      </c>
      <c r="L363" s="2">
        <f t="shared" si="11"/>
        <v>16.315999999999999</v>
      </c>
      <c r="M363" t="s">
        <v>47</v>
      </c>
      <c r="N363" t="s">
        <v>48</v>
      </c>
      <c r="O363" t="s">
        <v>29</v>
      </c>
    </row>
    <row r="364" spans="1:15" x14ac:dyDescent="0.25">
      <c r="A364" s="1">
        <v>45324</v>
      </c>
      <c r="B364" t="s">
        <v>16</v>
      </c>
      <c r="C364" t="s">
        <v>17</v>
      </c>
      <c r="D364" t="s">
        <v>24</v>
      </c>
      <c r="E364" t="s">
        <v>14</v>
      </c>
      <c r="F364" s="2">
        <v>65.97</v>
      </c>
      <c r="G364" s="2">
        <v>120</v>
      </c>
      <c r="H364">
        <v>8</v>
      </c>
      <c r="I364" t="s">
        <v>19</v>
      </c>
      <c r="J364">
        <v>8.4</v>
      </c>
      <c r="K364" s="3">
        <f t="shared" si="10"/>
        <v>54.03</v>
      </c>
      <c r="L364" s="2">
        <f t="shared" si="11"/>
        <v>10.806000000000001</v>
      </c>
      <c r="M364" t="s">
        <v>49</v>
      </c>
      <c r="N364" t="s">
        <v>50</v>
      </c>
      <c r="O364" t="s">
        <v>30</v>
      </c>
    </row>
    <row r="365" spans="1:15" x14ac:dyDescent="0.25">
      <c r="A365" s="1">
        <v>45324</v>
      </c>
      <c r="B365" t="s">
        <v>21</v>
      </c>
      <c r="C365" t="s">
        <v>12</v>
      </c>
      <c r="D365" t="s">
        <v>13</v>
      </c>
      <c r="E365" t="s">
        <v>20</v>
      </c>
      <c r="F365" s="2">
        <v>51.52</v>
      </c>
      <c r="G365" s="2">
        <v>120</v>
      </c>
      <c r="H365">
        <v>8</v>
      </c>
      <c r="I365" t="s">
        <v>19</v>
      </c>
      <c r="J365">
        <v>9.6</v>
      </c>
      <c r="K365" s="3">
        <f t="shared" si="10"/>
        <v>68.47999999999999</v>
      </c>
      <c r="L365" s="2">
        <f t="shared" si="11"/>
        <v>13.695999999999998</v>
      </c>
      <c r="M365" t="s">
        <v>51</v>
      </c>
      <c r="N365" t="s">
        <v>52</v>
      </c>
      <c r="O365" t="s">
        <v>31</v>
      </c>
    </row>
    <row r="366" spans="1:15" x14ac:dyDescent="0.25">
      <c r="A366" s="1">
        <v>45324</v>
      </c>
      <c r="B366" t="s">
        <v>16</v>
      </c>
      <c r="C366" t="s">
        <v>17</v>
      </c>
      <c r="D366" t="s">
        <v>13</v>
      </c>
      <c r="E366" t="s">
        <v>18</v>
      </c>
      <c r="F366" s="2">
        <v>35.49</v>
      </c>
      <c r="G366" s="2">
        <v>120</v>
      </c>
      <c r="H366">
        <v>6</v>
      </c>
      <c r="I366" t="s">
        <v>19</v>
      </c>
      <c r="J366">
        <v>4.0999999999999996</v>
      </c>
      <c r="K366" s="3">
        <f t="shared" si="10"/>
        <v>84.509999999999991</v>
      </c>
      <c r="L366" s="2">
        <f t="shared" si="11"/>
        <v>16.901999999999997</v>
      </c>
      <c r="M366" t="s">
        <v>53</v>
      </c>
      <c r="N366" t="s">
        <v>54</v>
      </c>
      <c r="O366" t="s">
        <v>31</v>
      </c>
    </row>
    <row r="367" spans="1:15" x14ac:dyDescent="0.25">
      <c r="A367" s="1">
        <v>45324</v>
      </c>
      <c r="B367" t="s">
        <v>16</v>
      </c>
      <c r="C367" t="s">
        <v>12</v>
      </c>
      <c r="D367" t="s">
        <v>13</v>
      </c>
      <c r="E367" t="s">
        <v>23</v>
      </c>
      <c r="F367" s="2">
        <v>83.35</v>
      </c>
      <c r="G367" s="2">
        <v>120</v>
      </c>
      <c r="H367">
        <v>2</v>
      </c>
      <c r="I367" t="s">
        <v>15</v>
      </c>
      <c r="J367">
        <v>9.5</v>
      </c>
      <c r="K367" s="3">
        <f t="shared" si="10"/>
        <v>36.650000000000006</v>
      </c>
      <c r="L367" s="2">
        <f t="shared" si="11"/>
        <v>7.3300000000000018</v>
      </c>
      <c r="M367" t="s">
        <v>55</v>
      </c>
      <c r="N367" t="s">
        <v>56</v>
      </c>
      <c r="O367" t="s">
        <v>31</v>
      </c>
    </row>
    <row r="368" spans="1:15" x14ac:dyDescent="0.25">
      <c r="A368" s="1">
        <v>45324</v>
      </c>
      <c r="B368" t="s">
        <v>16</v>
      </c>
      <c r="C368" t="s">
        <v>12</v>
      </c>
      <c r="D368" t="s">
        <v>24</v>
      </c>
      <c r="E368" t="s">
        <v>25</v>
      </c>
      <c r="F368" s="2">
        <v>56.11</v>
      </c>
      <c r="G368" s="2">
        <v>120</v>
      </c>
      <c r="H368">
        <v>2</v>
      </c>
      <c r="I368" t="s">
        <v>19</v>
      </c>
      <c r="J368">
        <v>6.3</v>
      </c>
      <c r="K368" s="3">
        <f t="shared" si="10"/>
        <v>63.89</v>
      </c>
      <c r="L368" s="2">
        <f t="shared" si="11"/>
        <v>12.778</v>
      </c>
      <c r="M368" t="s">
        <v>57</v>
      </c>
      <c r="N368" t="s">
        <v>58</v>
      </c>
      <c r="O368" t="s">
        <v>28</v>
      </c>
    </row>
    <row r="369" spans="1:15" x14ac:dyDescent="0.25">
      <c r="A369" s="1">
        <v>45324</v>
      </c>
      <c r="B369" t="s">
        <v>11</v>
      </c>
      <c r="C369" t="s">
        <v>12</v>
      </c>
      <c r="D369" t="s">
        <v>24</v>
      </c>
      <c r="E369" t="s">
        <v>14</v>
      </c>
      <c r="F369" s="2">
        <v>46.55</v>
      </c>
      <c r="G369" s="2">
        <v>120</v>
      </c>
      <c r="H369">
        <v>9</v>
      </c>
      <c r="I369" t="s">
        <v>22</v>
      </c>
      <c r="J369">
        <v>6.4</v>
      </c>
      <c r="K369" s="3">
        <f t="shared" si="10"/>
        <v>73.45</v>
      </c>
      <c r="L369" s="2">
        <f t="shared" si="11"/>
        <v>14.690000000000001</v>
      </c>
      <c r="M369" t="s">
        <v>59</v>
      </c>
      <c r="N369" t="s">
        <v>60</v>
      </c>
      <c r="O369" t="s">
        <v>28</v>
      </c>
    </row>
    <row r="370" spans="1:15" x14ac:dyDescent="0.25">
      <c r="A370" s="1">
        <v>45324</v>
      </c>
      <c r="B370" t="s">
        <v>11</v>
      </c>
      <c r="C370" t="s">
        <v>17</v>
      </c>
      <c r="D370" t="s">
        <v>24</v>
      </c>
      <c r="E370" t="s">
        <v>25</v>
      </c>
      <c r="F370" s="2">
        <v>93.87</v>
      </c>
      <c r="G370" s="2">
        <v>120</v>
      </c>
      <c r="H370">
        <v>8</v>
      </c>
      <c r="I370" t="s">
        <v>15</v>
      </c>
      <c r="J370">
        <v>8.3000000000000007</v>
      </c>
      <c r="K370" s="3">
        <f t="shared" si="10"/>
        <v>26.129999999999995</v>
      </c>
      <c r="L370" s="2">
        <f t="shared" si="11"/>
        <v>5.2259999999999991</v>
      </c>
      <c r="M370" t="s">
        <v>59</v>
      </c>
      <c r="N370" t="s">
        <v>61</v>
      </c>
      <c r="O370" t="s">
        <v>31</v>
      </c>
    </row>
    <row r="371" spans="1:15" x14ac:dyDescent="0.25">
      <c r="A371" s="1">
        <v>45324</v>
      </c>
      <c r="B371" t="s">
        <v>21</v>
      </c>
      <c r="C371" t="s">
        <v>17</v>
      </c>
      <c r="D371" t="s">
        <v>13</v>
      </c>
      <c r="E371" t="s">
        <v>14</v>
      </c>
      <c r="F371" s="2">
        <v>10.96</v>
      </c>
      <c r="G371" s="2">
        <v>120</v>
      </c>
      <c r="H371">
        <v>10</v>
      </c>
      <c r="I371" t="s">
        <v>22</v>
      </c>
      <c r="J371">
        <v>6</v>
      </c>
      <c r="K371" s="3">
        <f t="shared" si="10"/>
        <v>109.03999999999999</v>
      </c>
      <c r="L371" s="2">
        <f t="shared" si="11"/>
        <v>21.808</v>
      </c>
      <c r="M371" t="s">
        <v>62</v>
      </c>
      <c r="N371" t="s">
        <v>63</v>
      </c>
      <c r="O371" t="s">
        <v>29</v>
      </c>
    </row>
    <row r="372" spans="1:15" x14ac:dyDescent="0.25">
      <c r="A372" s="1">
        <v>45324</v>
      </c>
      <c r="B372" t="s">
        <v>16</v>
      </c>
      <c r="C372" t="s">
        <v>17</v>
      </c>
      <c r="D372" t="s">
        <v>13</v>
      </c>
      <c r="E372" t="s">
        <v>23</v>
      </c>
      <c r="F372" s="2">
        <v>95.42</v>
      </c>
      <c r="G372" s="2">
        <v>120</v>
      </c>
      <c r="H372">
        <v>4</v>
      </c>
      <c r="I372" t="s">
        <v>22</v>
      </c>
      <c r="J372">
        <v>6.4</v>
      </c>
      <c r="K372" s="3">
        <f t="shared" si="10"/>
        <v>24.58</v>
      </c>
      <c r="L372" s="2">
        <f t="shared" si="11"/>
        <v>4.9160000000000004</v>
      </c>
      <c r="M372" t="s">
        <v>64</v>
      </c>
      <c r="N372" t="s">
        <v>65</v>
      </c>
      <c r="O372" t="s">
        <v>32</v>
      </c>
    </row>
    <row r="373" spans="1:15" x14ac:dyDescent="0.25">
      <c r="A373" s="1">
        <v>45324</v>
      </c>
      <c r="B373" t="s">
        <v>21</v>
      </c>
      <c r="C373" t="s">
        <v>12</v>
      </c>
      <c r="D373" t="s">
        <v>13</v>
      </c>
      <c r="E373" t="s">
        <v>26</v>
      </c>
      <c r="F373" s="2">
        <v>18.329999999999998</v>
      </c>
      <c r="G373" s="2">
        <v>120</v>
      </c>
      <c r="H373">
        <v>1</v>
      </c>
      <c r="I373" t="s">
        <v>19</v>
      </c>
      <c r="J373">
        <v>4.3</v>
      </c>
      <c r="K373" s="3">
        <f t="shared" si="10"/>
        <v>101.67</v>
      </c>
      <c r="L373" s="2">
        <f t="shared" si="11"/>
        <v>20.334000000000003</v>
      </c>
      <c r="M373" t="s">
        <v>66</v>
      </c>
      <c r="N373" t="s">
        <v>67</v>
      </c>
      <c r="O373" t="s">
        <v>31</v>
      </c>
    </row>
    <row r="374" spans="1:15" x14ac:dyDescent="0.25">
      <c r="A374" s="1">
        <v>45325</v>
      </c>
      <c r="B374" t="s">
        <v>21</v>
      </c>
      <c r="C374" t="s">
        <v>17</v>
      </c>
      <c r="D374" t="s">
        <v>13</v>
      </c>
      <c r="E374" t="s">
        <v>14</v>
      </c>
      <c r="F374" s="2">
        <v>27.28</v>
      </c>
      <c r="G374" s="2">
        <v>120</v>
      </c>
      <c r="H374">
        <v>5</v>
      </c>
      <c r="I374" t="s">
        <v>15</v>
      </c>
      <c r="J374">
        <v>8.6</v>
      </c>
      <c r="K374" s="3">
        <f t="shared" si="10"/>
        <v>92.72</v>
      </c>
      <c r="L374" s="2">
        <f t="shared" si="11"/>
        <v>18.544</v>
      </c>
      <c r="M374" t="s">
        <v>68</v>
      </c>
      <c r="N374" t="s">
        <v>69</v>
      </c>
      <c r="O374" t="s">
        <v>32</v>
      </c>
    </row>
    <row r="375" spans="1:15" x14ac:dyDescent="0.25">
      <c r="A375" s="1">
        <v>45325</v>
      </c>
      <c r="B375" t="s">
        <v>11</v>
      </c>
      <c r="C375" t="s">
        <v>12</v>
      </c>
      <c r="D375" t="s">
        <v>24</v>
      </c>
      <c r="E375" t="s">
        <v>14</v>
      </c>
      <c r="F375" s="2">
        <v>47.16</v>
      </c>
      <c r="G375" s="2">
        <v>120</v>
      </c>
      <c r="H375">
        <v>5</v>
      </c>
      <c r="I375" t="s">
        <v>15</v>
      </c>
      <c r="J375">
        <v>6</v>
      </c>
      <c r="K375" s="3">
        <f t="shared" si="10"/>
        <v>72.84</v>
      </c>
      <c r="L375" s="2">
        <f t="shared" si="11"/>
        <v>14.568000000000001</v>
      </c>
      <c r="M375" t="s">
        <v>70</v>
      </c>
      <c r="N375" t="s">
        <v>67</v>
      </c>
      <c r="O375" t="s">
        <v>33</v>
      </c>
    </row>
    <row r="376" spans="1:15" x14ac:dyDescent="0.25">
      <c r="A376" s="1">
        <v>45325</v>
      </c>
      <c r="B376" t="s">
        <v>21</v>
      </c>
      <c r="C376" t="s">
        <v>12</v>
      </c>
      <c r="D376" t="s">
        <v>13</v>
      </c>
      <c r="E376" t="s">
        <v>25</v>
      </c>
      <c r="F376" s="2">
        <v>94.88</v>
      </c>
      <c r="G376" s="2">
        <v>120</v>
      </c>
      <c r="H376">
        <v>7</v>
      </c>
      <c r="I376" t="s">
        <v>19</v>
      </c>
      <c r="J376">
        <v>4.2</v>
      </c>
      <c r="K376" s="3">
        <f t="shared" si="10"/>
        <v>25.120000000000005</v>
      </c>
      <c r="L376" s="2">
        <f t="shared" si="11"/>
        <v>5.0240000000000009</v>
      </c>
      <c r="M376" t="s">
        <v>39</v>
      </c>
      <c r="N376" t="s">
        <v>40</v>
      </c>
      <c r="O376" t="s">
        <v>34</v>
      </c>
    </row>
    <row r="377" spans="1:15" x14ac:dyDescent="0.25">
      <c r="A377" s="1">
        <v>45325</v>
      </c>
      <c r="B377" t="s">
        <v>16</v>
      </c>
      <c r="C377" t="s">
        <v>12</v>
      </c>
      <c r="D377" t="s">
        <v>24</v>
      </c>
      <c r="E377" t="s">
        <v>14</v>
      </c>
      <c r="F377" s="2">
        <v>91.4</v>
      </c>
      <c r="G377" s="2">
        <v>120</v>
      </c>
      <c r="H377">
        <v>7</v>
      </c>
      <c r="I377" t="s">
        <v>19</v>
      </c>
      <c r="J377">
        <v>9.5</v>
      </c>
      <c r="K377" s="3">
        <f t="shared" si="10"/>
        <v>28.599999999999994</v>
      </c>
      <c r="L377" s="2">
        <f t="shared" si="11"/>
        <v>5.7199999999999989</v>
      </c>
      <c r="M377" t="s">
        <v>41</v>
      </c>
      <c r="N377" t="s">
        <v>42</v>
      </c>
      <c r="O377" t="s">
        <v>35</v>
      </c>
    </row>
    <row r="378" spans="1:15" x14ac:dyDescent="0.25">
      <c r="A378" s="1">
        <v>45325</v>
      </c>
      <c r="B378" t="s">
        <v>11</v>
      </c>
      <c r="C378" t="s">
        <v>12</v>
      </c>
      <c r="D378" t="s">
        <v>13</v>
      </c>
      <c r="E378" t="s">
        <v>20</v>
      </c>
      <c r="F378" s="2">
        <v>55.07</v>
      </c>
      <c r="G378" s="2">
        <v>120</v>
      </c>
      <c r="H378">
        <v>9</v>
      </c>
      <c r="I378" t="s">
        <v>22</v>
      </c>
      <c r="J378">
        <v>10</v>
      </c>
      <c r="K378" s="3">
        <f t="shared" si="10"/>
        <v>64.930000000000007</v>
      </c>
      <c r="L378" s="2">
        <f t="shared" si="11"/>
        <v>12.986000000000002</v>
      </c>
      <c r="M378" t="s">
        <v>43</v>
      </c>
      <c r="N378" t="s">
        <v>44</v>
      </c>
      <c r="O378" t="s">
        <v>36</v>
      </c>
    </row>
    <row r="379" spans="1:15" x14ac:dyDescent="0.25">
      <c r="A379" s="1">
        <v>45325</v>
      </c>
      <c r="B379" t="s">
        <v>11</v>
      </c>
      <c r="C379" t="s">
        <v>17</v>
      </c>
      <c r="D379" t="s">
        <v>13</v>
      </c>
      <c r="E379" t="s">
        <v>20</v>
      </c>
      <c r="F379" s="2">
        <v>42.97</v>
      </c>
      <c r="G379" s="2">
        <v>120</v>
      </c>
      <c r="H379">
        <v>3</v>
      </c>
      <c r="I379" t="s">
        <v>19</v>
      </c>
      <c r="J379">
        <v>9.3000000000000007</v>
      </c>
      <c r="K379" s="3">
        <f t="shared" si="10"/>
        <v>77.03</v>
      </c>
      <c r="L379" s="2">
        <f t="shared" si="11"/>
        <v>15.406000000000001</v>
      </c>
      <c r="M379" t="s">
        <v>45</v>
      </c>
      <c r="N379" t="s">
        <v>46</v>
      </c>
      <c r="O379" t="s">
        <v>37</v>
      </c>
    </row>
    <row r="380" spans="1:15" x14ac:dyDescent="0.25">
      <c r="A380" s="1">
        <v>45325</v>
      </c>
      <c r="B380" t="s">
        <v>21</v>
      </c>
      <c r="C380" t="s">
        <v>12</v>
      </c>
      <c r="D380" t="s">
        <v>24</v>
      </c>
      <c r="E380" t="s">
        <v>25</v>
      </c>
      <c r="F380" s="2">
        <v>72.78</v>
      </c>
      <c r="G380" s="2">
        <v>120</v>
      </c>
      <c r="H380">
        <v>10</v>
      </c>
      <c r="I380" t="s">
        <v>19</v>
      </c>
      <c r="J380">
        <v>7.3</v>
      </c>
      <c r="K380" s="3">
        <f t="shared" si="10"/>
        <v>47.22</v>
      </c>
      <c r="L380" s="2">
        <f t="shared" si="11"/>
        <v>9.4440000000000008</v>
      </c>
      <c r="M380" t="s">
        <v>47</v>
      </c>
      <c r="N380" t="s">
        <v>48</v>
      </c>
      <c r="O380" t="s">
        <v>38</v>
      </c>
    </row>
    <row r="381" spans="1:15" x14ac:dyDescent="0.25">
      <c r="A381" s="1">
        <v>45325</v>
      </c>
      <c r="B381" t="s">
        <v>11</v>
      </c>
      <c r="C381" t="s">
        <v>12</v>
      </c>
      <c r="D381" t="s">
        <v>24</v>
      </c>
      <c r="E381" t="s">
        <v>23</v>
      </c>
      <c r="F381" s="2">
        <v>53.78</v>
      </c>
      <c r="G381" s="2">
        <v>120</v>
      </c>
      <c r="H381">
        <v>1</v>
      </c>
      <c r="I381" t="s">
        <v>22</v>
      </c>
      <c r="J381">
        <v>4.7</v>
      </c>
      <c r="K381" s="3">
        <f t="shared" si="10"/>
        <v>66.22</v>
      </c>
      <c r="L381" s="2">
        <f t="shared" si="11"/>
        <v>13.244</v>
      </c>
      <c r="M381" t="s">
        <v>49</v>
      </c>
      <c r="N381" t="s">
        <v>50</v>
      </c>
      <c r="O381" t="s">
        <v>28</v>
      </c>
    </row>
    <row r="382" spans="1:15" x14ac:dyDescent="0.25">
      <c r="A382" s="1">
        <v>45325</v>
      </c>
      <c r="B382" t="s">
        <v>21</v>
      </c>
      <c r="C382" t="s">
        <v>17</v>
      </c>
      <c r="D382" t="s">
        <v>24</v>
      </c>
      <c r="E382" t="s">
        <v>23</v>
      </c>
      <c r="F382" s="2">
        <v>77.02</v>
      </c>
      <c r="G382" s="2">
        <v>120</v>
      </c>
      <c r="H382">
        <v>5</v>
      </c>
      <c r="I382" t="s">
        <v>19</v>
      </c>
      <c r="J382">
        <v>5.5</v>
      </c>
      <c r="K382" s="3">
        <f t="shared" si="10"/>
        <v>42.980000000000004</v>
      </c>
      <c r="L382" s="2">
        <f t="shared" si="11"/>
        <v>8.5960000000000019</v>
      </c>
      <c r="M382" t="s">
        <v>51</v>
      </c>
      <c r="N382" t="s">
        <v>52</v>
      </c>
      <c r="O382" t="s">
        <v>29</v>
      </c>
    </row>
    <row r="383" spans="1:15" x14ac:dyDescent="0.25">
      <c r="A383" s="1">
        <v>45325</v>
      </c>
      <c r="B383" t="s">
        <v>21</v>
      </c>
      <c r="C383" t="s">
        <v>12</v>
      </c>
      <c r="D383" t="s">
        <v>24</v>
      </c>
      <c r="E383" t="s">
        <v>14</v>
      </c>
      <c r="F383" s="2">
        <v>67.45</v>
      </c>
      <c r="G383" s="2">
        <v>120</v>
      </c>
      <c r="H383">
        <v>10</v>
      </c>
      <c r="I383" t="s">
        <v>22</v>
      </c>
      <c r="J383">
        <v>4.2</v>
      </c>
      <c r="K383" s="3">
        <f t="shared" si="10"/>
        <v>52.55</v>
      </c>
      <c r="L383" s="2">
        <f t="shared" si="11"/>
        <v>10.51</v>
      </c>
      <c r="M383" t="s">
        <v>53</v>
      </c>
      <c r="N383" t="s">
        <v>54</v>
      </c>
      <c r="O383" t="s">
        <v>30</v>
      </c>
    </row>
    <row r="384" spans="1:15" x14ac:dyDescent="0.25">
      <c r="A384" s="1">
        <v>45325</v>
      </c>
      <c r="B384" t="s">
        <v>16</v>
      </c>
      <c r="C384" t="s">
        <v>17</v>
      </c>
      <c r="D384" t="s">
        <v>24</v>
      </c>
      <c r="E384" t="s">
        <v>14</v>
      </c>
      <c r="F384" s="2">
        <v>40.520000000000003</v>
      </c>
      <c r="G384" s="2">
        <v>120</v>
      </c>
      <c r="H384">
        <v>5</v>
      </c>
      <c r="I384" t="s">
        <v>19</v>
      </c>
      <c r="J384">
        <v>4.5</v>
      </c>
      <c r="K384" s="3">
        <f t="shared" si="10"/>
        <v>79.47999999999999</v>
      </c>
      <c r="L384" s="2">
        <f t="shared" si="11"/>
        <v>15.895999999999999</v>
      </c>
      <c r="M384" t="s">
        <v>55</v>
      </c>
      <c r="N384" t="s">
        <v>56</v>
      </c>
      <c r="O384" t="s">
        <v>31</v>
      </c>
    </row>
    <row r="385" spans="1:15" x14ac:dyDescent="0.25">
      <c r="A385" s="1">
        <v>45325</v>
      </c>
      <c r="B385" t="s">
        <v>16</v>
      </c>
      <c r="C385" t="s">
        <v>17</v>
      </c>
      <c r="D385" t="s">
        <v>13</v>
      </c>
      <c r="E385" t="s">
        <v>20</v>
      </c>
      <c r="F385" s="2">
        <v>73.95</v>
      </c>
      <c r="G385" s="2">
        <v>120</v>
      </c>
      <c r="H385">
        <v>4</v>
      </c>
      <c r="I385" t="s">
        <v>19</v>
      </c>
      <c r="J385">
        <v>6.1</v>
      </c>
      <c r="K385" s="3">
        <f t="shared" si="10"/>
        <v>46.05</v>
      </c>
      <c r="L385" s="2">
        <f t="shared" si="11"/>
        <v>9.2099999999999991</v>
      </c>
      <c r="M385" t="s">
        <v>57</v>
      </c>
      <c r="N385" t="s">
        <v>58</v>
      </c>
      <c r="O385" t="s">
        <v>31</v>
      </c>
    </row>
    <row r="386" spans="1:15" x14ac:dyDescent="0.25">
      <c r="A386" s="1">
        <v>45325</v>
      </c>
      <c r="B386" t="s">
        <v>16</v>
      </c>
      <c r="C386" t="s">
        <v>17</v>
      </c>
      <c r="D386" t="s">
        <v>13</v>
      </c>
      <c r="E386" t="s">
        <v>20</v>
      </c>
      <c r="F386" s="2">
        <v>49.33</v>
      </c>
      <c r="G386" s="2">
        <v>120</v>
      </c>
      <c r="H386">
        <v>10</v>
      </c>
      <c r="I386" t="s">
        <v>15</v>
      </c>
      <c r="J386">
        <v>9.4</v>
      </c>
      <c r="K386" s="3">
        <f t="shared" ref="K386:K400" si="12">G386-F386</f>
        <v>70.67</v>
      </c>
      <c r="L386" s="2">
        <f t="shared" ref="L386:L400" si="13">IF(G386&gt;30,K386*0.2,G386*0.1)</f>
        <v>14.134</v>
      </c>
      <c r="M386" t="s">
        <v>59</v>
      </c>
      <c r="N386" t="s">
        <v>60</v>
      </c>
      <c r="O386" t="s">
        <v>31</v>
      </c>
    </row>
    <row r="387" spans="1:15" x14ac:dyDescent="0.25">
      <c r="A387" s="1">
        <v>45325</v>
      </c>
      <c r="B387" t="s">
        <v>11</v>
      </c>
      <c r="C387" t="s">
        <v>12</v>
      </c>
      <c r="D387" t="s">
        <v>24</v>
      </c>
      <c r="E387" t="s">
        <v>20</v>
      </c>
      <c r="F387" s="2">
        <v>73.97</v>
      </c>
      <c r="G387" s="2">
        <v>120</v>
      </c>
      <c r="H387">
        <v>1</v>
      </c>
      <c r="I387" t="s">
        <v>15</v>
      </c>
      <c r="J387">
        <v>5.4</v>
      </c>
      <c r="K387" s="3">
        <f t="shared" si="12"/>
        <v>46.03</v>
      </c>
      <c r="L387" s="2">
        <f t="shared" si="13"/>
        <v>9.2060000000000013</v>
      </c>
      <c r="M387" t="s">
        <v>59</v>
      </c>
      <c r="N387" t="s">
        <v>61</v>
      </c>
      <c r="O387" t="s">
        <v>28</v>
      </c>
    </row>
    <row r="388" spans="1:15" x14ac:dyDescent="0.25">
      <c r="A388" s="1">
        <v>45326</v>
      </c>
      <c r="B388" t="s">
        <v>16</v>
      </c>
      <c r="C388" t="s">
        <v>17</v>
      </c>
      <c r="D388" t="s">
        <v>13</v>
      </c>
      <c r="E388" t="s">
        <v>26</v>
      </c>
      <c r="F388" s="2">
        <v>13.85</v>
      </c>
      <c r="G388" s="2">
        <v>120</v>
      </c>
      <c r="H388">
        <v>9</v>
      </c>
      <c r="I388" t="s">
        <v>22</v>
      </c>
      <c r="J388">
        <v>6</v>
      </c>
      <c r="K388" s="3">
        <f t="shared" si="12"/>
        <v>106.15</v>
      </c>
      <c r="L388" s="2">
        <f t="shared" si="13"/>
        <v>21.230000000000004</v>
      </c>
      <c r="M388" t="s">
        <v>62</v>
      </c>
      <c r="N388" t="s">
        <v>63</v>
      </c>
      <c r="O388" t="s">
        <v>28</v>
      </c>
    </row>
    <row r="389" spans="1:15" x14ac:dyDescent="0.25">
      <c r="A389" s="1">
        <v>45326</v>
      </c>
      <c r="B389" t="s">
        <v>21</v>
      </c>
      <c r="C389" t="s">
        <v>12</v>
      </c>
      <c r="D389" t="s">
        <v>13</v>
      </c>
      <c r="E389" t="s">
        <v>18</v>
      </c>
      <c r="F389" s="2">
        <v>25.22</v>
      </c>
      <c r="G389" s="2">
        <v>120</v>
      </c>
      <c r="H389">
        <v>7</v>
      </c>
      <c r="I389" t="s">
        <v>19</v>
      </c>
      <c r="J389">
        <v>8.1999999999999993</v>
      </c>
      <c r="K389" s="3">
        <f t="shared" si="12"/>
        <v>94.78</v>
      </c>
      <c r="L389" s="2">
        <f t="shared" si="13"/>
        <v>18.956</v>
      </c>
      <c r="M389" t="s">
        <v>64</v>
      </c>
      <c r="N389" t="s">
        <v>65</v>
      </c>
      <c r="O389" t="s">
        <v>31</v>
      </c>
    </row>
    <row r="390" spans="1:15" x14ac:dyDescent="0.25">
      <c r="A390" s="1">
        <v>45326</v>
      </c>
      <c r="B390" t="s">
        <v>11</v>
      </c>
      <c r="C390" t="s">
        <v>17</v>
      </c>
      <c r="D390" t="s">
        <v>13</v>
      </c>
      <c r="E390" t="s">
        <v>14</v>
      </c>
      <c r="F390" s="2">
        <v>67.77</v>
      </c>
      <c r="G390" s="2">
        <v>120</v>
      </c>
      <c r="H390">
        <v>1</v>
      </c>
      <c r="I390" t="s">
        <v>15</v>
      </c>
      <c r="J390">
        <v>6.5</v>
      </c>
      <c r="K390" s="3">
        <f t="shared" si="12"/>
        <v>52.230000000000004</v>
      </c>
      <c r="L390" s="2">
        <f t="shared" si="13"/>
        <v>10.446000000000002</v>
      </c>
      <c r="M390" t="s">
        <v>66</v>
      </c>
      <c r="N390" t="s">
        <v>67</v>
      </c>
      <c r="O390" t="s">
        <v>29</v>
      </c>
    </row>
    <row r="391" spans="1:15" x14ac:dyDescent="0.25">
      <c r="A391" s="1">
        <v>45326</v>
      </c>
      <c r="B391" t="s">
        <v>11</v>
      </c>
      <c r="C391" t="s">
        <v>12</v>
      </c>
      <c r="D391" t="s">
        <v>24</v>
      </c>
      <c r="E391" t="s">
        <v>14</v>
      </c>
      <c r="F391" s="2">
        <v>23.34</v>
      </c>
      <c r="G391" s="2">
        <v>120</v>
      </c>
      <c r="H391">
        <v>4</v>
      </c>
      <c r="I391" t="s">
        <v>22</v>
      </c>
      <c r="J391">
        <v>7.4</v>
      </c>
      <c r="K391" s="3">
        <f t="shared" si="12"/>
        <v>96.66</v>
      </c>
      <c r="L391" s="2">
        <f t="shared" si="13"/>
        <v>19.332000000000001</v>
      </c>
      <c r="M391" t="s">
        <v>68</v>
      </c>
      <c r="N391" t="s">
        <v>69</v>
      </c>
      <c r="O391" t="s">
        <v>32</v>
      </c>
    </row>
    <row r="392" spans="1:15" x14ac:dyDescent="0.25">
      <c r="A392" s="1">
        <v>45326</v>
      </c>
      <c r="B392" t="s">
        <v>16</v>
      </c>
      <c r="C392" t="s">
        <v>12</v>
      </c>
      <c r="D392" t="s">
        <v>24</v>
      </c>
      <c r="E392" t="s">
        <v>25</v>
      </c>
      <c r="F392" s="2">
        <v>13.98</v>
      </c>
      <c r="G392" s="2">
        <v>120</v>
      </c>
      <c r="H392">
        <v>1</v>
      </c>
      <c r="I392" t="s">
        <v>22</v>
      </c>
      <c r="J392">
        <v>9.8000000000000007</v>
      </c>
      <c r="K392" s="3">
        <f t="shared" si="12"/>
        <v>106.02</v>
      </c>
      <c r="L392" s="2">
        <f t="shared" si="13"/>
        <v>21.204000000000001</v>
      </c>
      <c r="M392" t="s">
        <v>70</v>
      </c>
      <c r="N392" t="s">
        <v>67</v>
      </c>
      <c r="O392" t="s">
        <v>31</v>
      </c>
    </row>
    <row r="393" spans="1:15" x14ac:dyDescent="0.25">
      <c r="A393" s="1">
        <v>45326</v>
      </c>
      <c r="B393" t="s">
        <v>21</v>
      </c>
      <c r="C393" t="s">
        <v>12</v>
      </c>
      <c r="D393" t="s">
        <v>24</v>
      </c>
      <c r="E393" t="s">
        <v>18</v>
      </c>
      <c r="F393" s="2">
        <v>71.95</v>
      </c>
      <c r="G393" s="2">
        <v>120</v>
      </c>
      <c r="H393">
        <v>1</v>
      </c>
      <c r="I393" t="s">
        <v>19</v>
      </c>
      <c r="J393">
        <v>7.3</v>
      </c>
      <c r="K393" s="3">
        <f t="shared" si="12"/>
        <v>48.05</v>
      </c>
      <c r="L393" s="2">
        <f t="shared" si="13"/>
        <v>9.61</v>
      </c>
      <c r="M393" t="s">
        <v>39</v>
      </c>
      <c r="N393" t="s">
        <v>40</v>
      </c>
      <c r="O393" t="s">
        <v>32</v>
      </c>
    </row>
    <row r="394" spans="1:15" x14ac:dyDescent="0.25">
      <c r="A394" s="1">
        <v>45326</v>
      </c>
      <c r="B394" t="s">
        <v>21</v>
      </c>
      <c r="C394" t="s">
        <v>17</v>
      </c>
      <c r="D394" t="s">
        <v>13</v>
      </c>
      <c r="E394" t="s">
        <v>20</v>
      </c>
      <c r="F394" s="2">
        <v>43.06</v>
      </c>
      <c r="G394" s="2">
        <v>120</v>
      </c>
      <c r="H394">
        <v>5</v>
      </c>
      <c r="I394" t="s">
        <v>22</v>
      </c>
      <c r="J394">
        <v>7.7</v>
      </c>
      <c r="K394" s="3">
        <f t="shared" si="12"/>
        <v>76.94</v>
      </c>
      <c r="L394" s="2">
        <f t="shared" si="13"/>
        <v>15.388</v>
      </c>
      <c r="M394" t="s">
        <v>41</v>
      </c>
      <c r="N394" t="s">
        <v>42</v>
      </c>
      <c r="O394" t="s">
        <v>33</v>
      </c>
    </row>
    <row r="395" spans="1:15" x14ac:dyDescent="0.25">
      <c r="A395" s="1">
        <v>45326</v>
      </c>
      <c r="B395" t="s">
        <v>21</v>
      </c>
      <c r="C395" t="s">
        <v>17</v>
      </c>
      <c r="D395" t="s">
        <v>24</v>
      </c>
      <c r="E395" t="s">
        <v>18</v>
      </c>
      <c r="F395" s="2">
        <v>74.58</v>
      </c>
      <c r="G395" s="2">
        <v>120</v>
      </c>
      <c r="H395">
        <v>7</v>
      </c>
      <c r="I395" t="s">
        <v>15</v>
      </c>
      <c r="J395">
        <v>9</v>
      </c>
      <c r="K395" s="3">
        <f t="shared" si="12"/>
        <v>45.42</v>
      </c>
      <c r="L395" s="2">
        <f t="shared" si="13"/>
        <v>9.0840000000000014</v>
      </c>
      <c r="M395" t="s">
        <v>43</v>
      </c>
      <c r="N395" t="s">
        <v>44</v>
      </c>
      <c r="O395" t="s">
        <v>34</v>
      </c>
    </row>
    <row r="396" spans="1:15" x14ac:dyDescent="0.25">
      <c r="A396" s="1">
        <v>45326</v>
      </c>
      <c r="B396" t="s">
        <v>11</v>
      </c>
      <c r="C396" t="s">
        <v>12</v>
      </c>
      <c r="D396" t="s">
        <v>13</v>
      </c>
      <c r="E396" t="s">
        <v>23</v>
      </c>
      <c r="F396" s="2">
        <v>72.040000000000006</v>
      </c>
      <c r="G396" s="2">
        <v>120</v>
      </c>
      <c r="H396">
        <v>2</v>
      </c>
      <c r="I396" t="s">
        <v>19</v>
      </c>
      <c r="J396">
        <v>9.5</v>
      </c>
      <c r="K396" s="3">
        <f t="shared" si="12"/>
        <v>47.959999999999994</v>
      </c>
      <c r="L396" s="2">
        <f t="shared" si="13"/>
        <v>9.5919999999999987</v>
      </c>
      <c r="M396" t="s">
        <v>45</v>
      </c>
      <c r="N396" t="s">
        <v>46</v>
      </c>
      <c r="O396" t="s">
        <v>35</v>
      </c>
    </row>
    <row r="397" spans="1:15" x14ac:dyDescent="0.25">
      <c r="A397" s="1">
        <v>45326</v>
      </c>
      <c r="B397" t="s">
        <v>21</v>
      </c>
      <c r="C397" t="s">
        <v>17</v>
      </c>
      <c r="D397" t="s">
        <v>13</v>
      </c>
      <c r="E397" t="s">
        <v>23</v>
      </c>
      <c r="F397" s="2">
        <v>48.63</v>
      </c>
      <c r="G397" s="2">
        <v>120</v>
      </c>
      <c r="H397">
        <v>4</v>
      </c>
      <c r="I397" t="s">
        <v>22</v>
      </c>
      <c r="J397">
        <v>7.6</v>
      </c>
      <c r="K397" s="3">
        <f t="shared" si="12"/>
        <v>71.37</v>
      </c>
      <c r="L397" s="2">
        <f t="shared" si="13"/>
        <v>14.274000000000001</v>
      </c>
      <c r="M397" t="s">
        <v>47</v>
      </c>
      <c r="N397" t="s">
        <v>48</v>
      </c>
      <c r="O397" t="s">
        <v>36</v>
      </c>
    </row>
    <row r="398" spans="1:15" x14ac:dyDescent="0.25">
      <c r="A398" s="1">
        <v>45326</v>
      </c>
      <c r="B398" t="s">
        <v>11</v>
      </c>
      <c r="C398" t="s">
        <v>12</v>
      </c>
      <c r="D398" t="s">
        <v>13</v>
      </c>
      <c r="E398" t="s">
        <v>25</v>
      </c>
      <c r="F398" s="2">
        <v>77.680000000000007</v>
      </c>
      <c r="G398" s="2">
        <v>120</v>
      </c>
      <c r="H398">
        <v>9</v>
      </c>
      <c r="I398" t="s">
        <v>22</v>
      </c>
      <c r="J398">
        <v>9.8000000000000007</v>
      </c>
      <c r="K398" s="3">
        <f t="shared" si="12"/>
        <v>42.319999999999993</v>
      </c>
      <c r="L398" s="2">
        <f t="shared" si="13"/>
        <v>8.4639999999999986</v>
      </c>
      <c r="M398" t="s">
        <v>49</v>
      </c>
      <c r="N398" t="s">
        <v>50</v>
      </c>
      <c r="O398" t="s">
        <v>37</v>
      </c>
    </row>
    <row r="399" spans="1:15" x14ac:dyDescent="0.25">
      <c r="A399" s="1">
        <v>45327</v>
      </c>
      <c r="B399" t="s">
        <v>21</v>
      </c>
      <c r="C399" t="s">
        <v>12</v>
      </c>
      <c r="D399" t="s">
        <v>13</v>
      </c>
      <c r="E399" t="s">
        <v>23</v>
      </c>
      <c r="F399" s="2">
        <v>30.62</v>
      </c>
      <c r="G399" s="2">
        <v>120</v>
      </c>
      <c r="H399">
        <v>1</v>
      </c>
      <c r="I399" t="s">
        <v>15</v>
      </c>
      <c r="J399">
        <v>4.0999999999999996</v>
      </c>
      <c r="K399" s="3">
        <f t="shared" si="12"/>
        <v>89.38</v>
      </c>
      <c r="L399" s="2">
        <f t="shared" si="13"/>
        <v>17.876000000000001</v>
      </c>
      <c r="M399" t="s">
        <v>51</v>
      </c>
      <c r="N399" t="s">
        <v>52</v>
      </c>
      <c r="O399" t="s">
        <v>38</v>
      </c>
    </row>
    <row r="400" spans="1:15" x14ac:dyDescent="0.25">
      <c r="A400" s="1">
        <v>45327</v>
      </c>
      <c r="B400" t="s">
        <v>11</v>
      </c>
      <c r="C400" t="s">
        <v>12</v>
      </c>
      <c r="D400" t="s">
        <v>13</v>
      </c>
      <c r="E400" t="s">
        <v>14</v>
      </c>
      <c r="F400" s="2">
        <v>42.82</v>
      </c>
      <c r="G400" s="2">
        <v>120</v>
      </c>
      <c r="H400">
        <v>9</v>
      </c>
      <c r="I400" t="s">
        <v>15</v>
      </c>
      <c r="J400">
        <v>8.9</v>
      </c>
      <c r="K400" s="3">
        <f t="shared" si="12"/>
        <v>77.180000000000007</v>
      </c>
      <c r="L400" s="2">
        <f t="shared" si="13"/>
        <v>15.436000000000002</v>
      </c>
      <c r="M400" t="s">
        <v>53</v>
      </c>
      <c r="N400" t="s">
        <v>54</v>
      </c>
      <c r="O400" t="s">
        <v>28</v>
      </c>
    </row>
    <row r="403" spans="1:7" x14ac:dyDescent="0.25">
      <c r="A403" t="s">
        <v>74</v>
      </c>
      <c r="G403" s="2">
        <f>SUM(G2:G400)</f>
        <v>47880</v>
      </c>
    </row>
    <row r="404" spans="1:7" x14ac:dyDescent="0.25">
      <c r="A404" t="s">
        <v>75</v>
      </c>
      <c r="G404" s="2">
        <f>SUMIF(G2:G400,"&gt;30")</f>
        <v>47880</v>
      </c>
    </row>
    <row r="405" spans="1:7" x14ac:dyDescent="0.25">
      <c r="A405" t="s">
        <v>76</v>
      </c>
      <c r="G405" s="2">
        <f>SUMIF(G2:G400,"&lt;=30")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2026-02-14T21:09:35Z</dcterms:created>
  <dcterms:modified xsi:type="dcterms:W3CDTF">2026-02-17T15:48:21Z</dcterms:modified>
</cp:coreProperties>
</file>